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izz_1/Documents/E27-Tractive-system-MATLAB-model-/information for modeling/"/>
    </mc:Choice>
  </mc:AlternateContent>
  <xr:revisionPtr revIDLastSave="0" documentId="13_ncr:1_{99F89CFF-D0C2-4141-AA62-3F730EB060F8}" xr6:coauthVersionLast="47" xr6:coauthVersionMax="47" xr10:uidLastSave="{00000000-0000-0000-0000-000000000000}"/>
  <bookViews>
    <workbookView xWindow="1400" yWindow="1240" windowWidth="28040" windowHeight="17180" activeTab="3" xr2:uid="{0FACE01F-734A-5E49-A078-B14114F26C95}"/>
  </bookViews>
  <sheets>
    <sheet name="Accumalator grpah" sheetId="1" r:id="rId1"/>
    <sheet name="motor spectulations" sheetId="3" r:id="rId2"/>
    <sheet name="battary data" sheetId="4" r:id="rId3"/>
    <sheet name="heat gen " sheetId="5" r:id="rId4"/>
    <sheet name="cooling flow " sheetId="7" r:id="rId5"/>
    <sheet name="car data E25" sheetId="8" r:id="rId6"/>
    <sheet name="Car data E27" sheetId="9" r:id="rId7"/>
    <sheet name="current regne confug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<sst xmlns="http://schemas.openxmlformats.org/spreadsheetml/2006/main" count="80" uniqueCount="80">
  <si>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https://www.deutsche-techna.de/en/magnets/ndfeb</t>
  </si>
  <si>
    <t>https://www.scribd.com/document/477702716/NdFeB-230-220h-E</t>
  </si>
  <si>
    <t xml:space="preserve">  https://amesweb.info/Materials/Specific_Heat_of_Steel.aspx</t>
  </si>
  <si>
    <t xml:space="preserve">magnet specfic heat </t>
  </si>
  <si>
    <t xml:space="preserve"> graphs for comparsion </t>
  </si>
  <si>
    <t xml:space="preserve">electric steel </t>
  </si>
  <si>
    <t>https://us.misumi-ec.com/blog/specific-heat-capacity-of-metals/</t>
  </si>
  <si>
    <t xml:space="preserve">copper spefici heat </t>
  </si>
  <si>
    <t>MathWorks: Thermal Mass Block Documentation</t>
  </si>
  <si>
    <t>specfic heat formula for the thermal rotor and each winding (both estimates and probably over)</t>
  </si>
  <si>
    <t xml:space="preserve">battary model </t>
  </si>
  <si>
    <t xml:space="preserve">rs50 sheet one </t>
  </si>
  <si>
    <t xml:space="preserve">the equivalent circuit model for the rs50 </t>
  </si>
  <si>
    <t xml:space="preserve">voltage </t>
  </si>
  <si>
    <t>current</t>
  </si>
  <si>
    <t xml:space="preserve">Current </t>
  </si>
  <si>
    <t xml:space="preserve">picture of inverter </t>
  </si>
  <si>
    <t xml:space="preserve">doesn't show max in this was about 550V. </t>
  </si>
  <si>
    <t xml:space="preserve">nominal was 490V under load </t>
  </si>
  <si>
    <t xml:space="preserve">which is showed by the drop in going up to constnat </t>
  </si>
  <si>
    <t xml:space="preserve">idk why brick but trust </t>
  </si>
  <si>
    <t xml:space="preserve">set intial condition to 1 </t>
  </si>
  <si>
    <t>[</t>
  </si>
  <si>
    <t xml:space="preserve">definition fill neck </t>
  </si>
  <si>
    <t xml:space="preserve">radiator </t>
  </si>
  <si>
    <t xml:space="preserve">pump is the </t>
  </si>
  <si>
    <t xml:space="preserve">Alphacool ES 420mm T38 radiator </t>
  </si>
  <si>
    <t xml:space="preserve">Davies Craig EBP-25 </t>
  </si>
  <si>
    <t xml:space="preserve"> FOR E25 it is motor then inverter for cooling </t>
  </si>
  <si>
    <t xml:space="preserve">pipe length </t>
  </si>
  <si>
    <t xml:space="preserve">2 motor to inverter </t>
  </si>
  <si>
    <t>REMEASURE</t>
  </si>
  <si>
    <t xml:space="preserve">1.5 inverter to  amibient </t>
  </si>
  <si>
    <t xml:space="preserve">,5 amibent to pump </t>
  </si>
  <si>
    <t>19in</t>
  </si>
  <si>
    <t xml:space="preserve">24inches </t>
  </si>
  <si>
    <t xml:space="preserve">32 inches </t>
  </si>
  <si>
    <t xml:space="preserve">pad for e25 ergo </t>
  </si>
  <si>
    <t>mean pad radius</t>
  </si>
  <si>
    <t>Cylinder Bore</t>
  </si>
  <si>
    <t xml:space="preserve">Tires </t>
  </si>
  <si>
    <t xml:space="preserve">Rolling Radius </t>
  </si>
  <si>
    <t>Differential</t>
  </si>
  <si>
    <t>Carrier to driveshaft</t>
  </si>
  <si>
    <t xml:space="preserve">vechicle body </t>
  </si>
  <si>
    <t xml:space="preserve">mass </t>
  </si>
  <si>
    <t xml:space="preserve">horizontal distance to cg from front axle </t>
  </si>
  <si>
    <t xml:space="preserve">horizontal distance to cg from rear axle </t>
  </si>
  <si>
    <t xml:space="preserve">Cg from above ground </t>
  </si>
  <si>
    <t xml:space="preserve">regen config </t>
  </si>
  <si>
    <t xml:space="preserve">current take in vechicle speed </t>
  </si>
  <si>
    <t xml:space="preserve">translate to motor rpm </t>
  </si>
  <si>
    <t>motor braking</t>
  </si>
  <si>
    <t>vehcile braking</t>
  </si>
  <si>
    <t xml:space="preserve">we say rear axle motor contruibes (30 percent of braking before lock up) </t>
  </si>
  <si>
    <t>other braking is done via pads</t>
  </si>
  <si>
    <t xml:space="preserve">contruibted via </t>
  </si>
  <si>
    <t xml:space="preserve">SOC of the pack intergral of current of the pack </t>
  </si>
  <si>
    <t xml:space="preserve">Vbus voltage of the bus </t>
  </si>
  <si>
    <t>current vechicle speed</t>
  </si>
  <si>
    <t xml:space="preserve">Core Heat Transfer Equation </t>
  </si>
  <si>
    <t xml:space="preserve">Q = m c change of T </t>
  </si>
  <si>
    <t xml:space="preserve"> m =mass flow rate of coolant </t>
  </si>
  <si>
    <t xml:space="preserve">c spefic heat of distilled water </t>
  </si>
  <si>
    <t xml:space="preserve">intial versus final temperature </t>
  </si>
  <si>
    <t xml:space="preserve">rate of heat tranfer </t>
  </si>
  <si>
    <t xml:space="preserve">m = pV </t>
  </si>
  <si>
    <t xml:space="preserve">p = density of the fluid </t>
  </si>
  <si>
    <t xml:space="preserve">V = volmetric via the Davies Craig BDP-25 </t>
  </si>
  <si>
    <t xml:space="preserve">19mm </t>
  </si>
  <si>
    <t xml:space="preserve">Heat exchanger Validation </t>
  </si>
  <si>
    <t xml:space="preserve">Q = U A  deta T </t>
  </si>
  <si>
    <t xml:space="preserve">U  is the overall heat transfer coefficent </t>
  </si>
  <si>
    <t xml:space="preserve">A heat transfer surface area </t>
  </si>
  <si>
    <t xml:space="preserve">log mean temperature hot coolant lopp and ambient </t>
  </si>
  <si>
    <t xml:space="preserve">8in </t>
  </si>
  <si>
    <t>12in</t>
  </si>
  <si>
    <t xml:space="preserve">36in </t>
  </si>
  <si>
    <t xml:space="preserve">34.5in </t>
  </si>
  <si>
    <t xml:space="preserve">frontal drag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</si>
</sst>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Heat gen of DTI 550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'heat gen '!$B$29</c:f>
              <c:strCache>
                <c:ptCount val="1"/>
                <c:pt idx="0">
                  <c:v>100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'!$B$30:$B$44</c:f>
              <c:numCache>
                <c:formatCode>General</c:formatCode>
                <c:ptCount val="15"/>
                <c:pt idx="0">
                  <c:v>199.5</c:v>
                </c:pt>
                <c:pt idx="1">
                  <c:v>230.3</c:v>
                </c:pt>
                <c:pt idx="2">
                  <c:v>261</c:v>
                </c:pt>
                <c:pt idx="3">
                  <c:v>291.8</c:v>
                </c:pt>
                <c:pt idx="4">
                  <c:v>322.5</c:v>
                </c:pt>
                <c:pt idx="5">
                  <c:v>353.3</c:v>
                </c:pt>
                <c:pt idx="6">
                  <c:v>384</c:v>
                </c:pt>
                <c:pt idx="7">
                  <c:v>416.3</c:v>
                </c:pt>
                <c:pt idx="8">
                  <c:v>448.5</c:v>
                </c:pt>
                <c:pt idx="9">
                  <c:v>480.8</c:v>
                </c:pt>
                <c:pt idx="10">
                  <c:v>513</c:v>
                </c:pt>
                <c:pt idx="11">
                  <c:v>545.29999999999995</c:v>
                </c:pt>
                <c:pt idx="12">
                  <c:v>577.5</c:v>
                </c:pt>
                <c:pt idx="13">
                  <c:v>609.79999999999995</c:v>
                </c:pt>
                <c:pt idx="14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1-CC4A-9315-DA6DC470B172}"/>
            </c:ext>
          </c:extLst>
        </c:ser>
        <c:ser>
          <c:idx val="1"/>
          <c:order val="1"/>
          <c:tx>
            <c:strRef>
              <c:f>'heat gen '!$C$29</c:f>
              <c:strCache>
                <c:ptCount val="1"/>
                <c:pt idx="0">
                  <c:v>150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'!$C$30:$C$44</c:f>
              <c:numCache>
                <c:formatCode>General</c:formatCode>
                <c:ptCount val="15"/>
                <c:pt idx="0">
                  <c:v>318</c:v>
                </c:pt>
                <c:pt idx="1">
                  <c:v>362.3</c:v>
                </c:pt>
                <c:pt idx="2">
                  <c:v>406.5</c:v>
                </c:pt>
                <c:pt idx="3">
                  <c:v>450.8</c:v>
                </c:pt>
                <c:pt idx="4">
                  <c:v>495</c:v>
                </c:pt>
                <c:pt idx="5">
                  <c:v>539.29999999999995</c:v>
                </c:pt>
                <c:pt idx="6">
                  <c:v>583.5</c:v>
                </c:pt>
                <c:pt idx="7">
                  <c:v>629.29999999999995</c:v>
                </c:pt>
                <c:pt idx="8">
                  <c:v>675</c:v>
                </c:pt>
                <c:pt idx="9">
                  <c:v>720.8</c:v>
                </c:pt>
                <c:pt idx="10">
                  <c:v>766.5</c:v>
                </c:pt>
                <c:pt idx="11">
                  <c:v>812.6</c:v>
                </c:pt>
                <c:pt idx="12">
                  <c:v>858.8</c:v>
                </c:pt>
                <c:pt idx="13">
                  <c:v>904.9</c:v>
                </c:pt>
                <c:pt idx="14">
                  <c:v>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1-CC4A-9315-DA6DC470B172}"/>
            </c:ext>
          </c:extLst>
        </c:ser>
        <c:ser>
          <c:idx val="2"/>
          <c:order val="2"/>
          <c:tx>
            <c:strRef>
              <c:f>'heat gen '!$D$29</c:f>
              <c:strCache>
                <c:ptCount val="1"/>
                <c:pt idx="0">
                  <c:v>200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'!$D$30:$D$44</c:f>
              <c:numCache>
                <c:formatCode>General</c:formatCode>
                <c:ptCount val="15"/>
                <c:pt idx="0">
                  <c:v>436.5</c:v>
                </c:pt>
                <c:pt idx="1">
                  <c:v>494.3</c:v>
                </c:pt>
                <c:pt idx="2">
                  <c:v>552</c:v>
                </c:pt>
                <c:pt idx="3">
                  <c:v>609.79999999999995</c:v>
                </c:pt>
                <c:pt idx="4">
                  <c:v>667.5</c:v>
                </c:pt>
                <c:pt idx="5">
                  <c:v>725.3</c:v>
                </c:pt>
                <c:pt idx="6">
                  <c:v>783</c:v>
                </c:pt>
                <c:pt idx="7">
                  <c:v>842.3</c:v>
                </c:pt>
                <c:pt idx="8">
                  <c:v>901.5</c:v>
                </c:pt>
                <c:pt idx="9">
                  <c:v>960.8</c:v>
                </c:pt>
                <c:pt idx="10">
                  <c:v>1020</c:v>
                </c:pt>
                <c:pt idx="11">
                  <c:v>1080</c:v>
                </c:pt>
                <c:pt idx="12">
                  <c:v>1140</c:v>
                </c:pt>
                <c:pt idx="13">
                  <c:v>1200</c:v>
                </c:pt>
                <c:pt idx="14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D1-CC4A-9315-DA6DC470B172}"/>
            </c:ext>
          </c:extLst>
        </c:ser>
        <c:ser>
          <c:idx val="3"/>
          <c:order val="3"/>
          <c:tx>
            <c:strRef>
              <c:f>'heat gen '!$E$29</c:f>
              <c:strCache>
                <c:ptCount val="1"/>
                <c:pt idx="0">
                  <c:v>250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'!$E$30:$E$44</c:f>
              <c:numCache>
                <c:formatCode>General</c:formatCode>
                <c:ptCount val="15"/>
                <c:pt idx="0">
                  <c:v>580.5</c:v>
                </c:pt>
                <c:pt idx="1">
                  <c:v>651.79999999999995</c:v>
                </c:pt>
                <c:pt idx="2">
                  <c:v>723</c:v>
                </c:pt>
                <c:pt idx="3">
                  <c:v>794.3</c:v>
                </c:pt>
                <c:pt idx="4">
                  <c:v>865.5</c:v>
                </c:pt>
                <c:pt idx="5">
                  <c:v>936.8</c:v>
                </c:pt>
                <c:pt idx="6">
                  <c:v>1008</c:v>
                </c:pt>
                <c:pt idx="7">
                  <c:v>1081.5</c:v>
                </c:pt>
                <c:pt idx="8">
                  <c:v>1155</c:v>
                </c:pt>
                <c:pt idx="9">
                  <c:v>1228.5</c:v>
                </c:pt>
                <c:pt idx="10">
                  <c:v>1302</c:v>
                </c:pt>
                <c:pt idx="11">
                  <c:v>1378.5</c:v>
                </c:pt>
                <c:pt idx="12">
                  <c:v>1455</c:v>
                </c:pt>
                <c:pt idx="13">
                  <c:v>1531.5</c:v>
                </c:pt>
                <c:pt idx="14">
                  <c:v>1608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D1-CC4A-9315-DA6DC470B172}"/>
            </c:ext>
          </c:extLst>
        </c:ser>
        <c:ser>
          <c:idx val="4"/>
          <c:order val="4"/>
          <c:tx>
            <c:strRef>
              <c:f>'heat gen '!$F$29</c:f>
              <c:strCache>
                <c:ptCount val="1"/>
                <c:pt idx="0">
                  <c:v>300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'!$F$30:$F$44</c:f>
              <c:numCache>
                <c:formatCode>General</c:formatCode>
                <c:ptCount val="15"/>
                <c:pt idx="0">
                  <c:v>724.5</c:v>
                </c:pt>
                <c:pt idx="1">
                  <c:v>809.3</c:v>
                </c:pt>
                <c:pt idx="2">
                  <c:v>894</c:v>
                </c:pt>
                <c:pt idx="3">
                  <c:v>978.8</c:v>
                </c:pt>
                <c:pt idx="4">
                  <c:v>1063.5</c:v>
                </c:pt>
                <c:pt idx="5">
                  <c:v>1148.3</c:v>
                </c:pt>
                <c:pt idx="6">
                  <c:v>1233</c:v>
                </c:pt>
                <c:pt idx="7">
                  <c:v>1320.8</c:v>
                </c:pt>
                <c:pt idx="8">
                  <c:v>1408.5</c:v>
                </c:pt>
                <c:pt idx="9">
                  <c:v>1496.3</c:v>
                </c:pt>
                <c:pt idx="10">
                  <c:v>1584</c:v>
                </c:pt>
                <c:pt idx="11">
                  <c:v>1677</c:v>
                </c:pt>
                <c:pt idx="12">
                  <c:v>1770</c:v>
                </c:pt>
                <c:pt idx="13">
                  <c:v>1863</c:v>
                </c:pt>
                <c:pt idx="14">
                  <c:v>1956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D1-CC4A-9315-DA6DC470B172}"/>
            </c:ext>
          </c:extLst>
        </c:ser>
        <c:ser>
          <c:idx val="5"/>
          <c:order val="5"/>
          <c:tx>
            <c:strRef>
              <c:f>'heat gen '!$G$29</c:f>
              <c:strCache>
                <c:ptCount val="1"/>
                <c:pt idx="0">
                  <c:v>350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'!$G$30:$G$44</c:f>
              <c:numCache>
                <c:formatCode>General</c:formatCode>
                <c:ptCount val="15"/>
                <c:pt idx="0">
                  <c:v>899.8</c:v>
                </c:pt>
                <c:pt idx="1">
                  <c:v>998.4</c:v>
                </c:pt>
                <c:pt idx="2">
                  <c:v>1097</c:v>
                </c:pt>
                <c:pt idx="3">
                  <c:v>1195.5999999999999</c:v>
                </c:pt>
                <c:pt idx="4">
                  <c:v>1294.3</c:v>
                </c:pt>
                <c:pt idx="5">
                  <c:v>1392.9</c:v>
                </c:pt>
                <c:pt idx="6">
                  <c:v>1491.5</c:v>
                </c:pt>
                <c:pt idx="7">
                  <c:v>1591.6</c:v>
                </c:pt>
                <c:pt idx="8">
                  <c:v>1691.8</c:v>
                </c:pt>
                <c:pt idx="9">
                  <c:v>1791.9</c:v>
                </c:pt>
                <c:pt idx="10">
                  <c:v>1892</c:v>
                </c:pt>
                <c:pt idx="11">
                  <c:v>2006</c:v>
                </c:pt>
                <c:pt idx="12">
                  <c:v>2120</c:v>
                </c:pt>
                <c:pt idx="13">
                  <c:v>2234</c:v>
                </c:pt>
                <c:pt idx="14">
                  <c:v>2348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D1-CC4A-9315-DA6DC470B172}"/>
            </c:ext>
          </c:extLst>
        </c:ser>
        <c:ser>
          <c:idx val="6"/>
          <c:order val="6"/>
          <c:tx>
            <c:strRef>
              <c:f>'heat gen '!$H$29</c:f>
              <c:strCache>
                <c:ptCount val="1"/>
                <c:pt idx="0">
                  <c:v>400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'!$H$30:$H$44</c:f>
              <c:numCache>
                <c:formatCode>General</c:formatCode>
                <c:ptCount val="15"/>
                <c:pt idx="0">
                  <c:v>1075</c:v>
                </c:pt>
                <c:pt idx="1">
                  <c:v>1187.5</c:v>
                </c:pt>
                <c:pt idx="2">
                  <c:v>1300</c:v>
                </c:pt>
                <c:pt idx="3">
                  <c:v>1412.5</c:v>
                </c:pt>
                <c:pt idx="4">
                  <c:v>1525</c:v>
                </c:pt>
                <c:pt idx="5">
                  <c:v>1637.5</c:v>
                </c:pt>
                <c:pt idx="6">
                  <c:v>1750</c:v>
                </c:pt>
                <c:pt idx="7">
                  <c:v>1862.5</c:v>
                </c:pt>
                <c:pt idx="8">
                  <c:v>1975</c:v>
                </c:pt>
                <c:pt idx="9">
                  <c:v>2087.5</c:v>
                </c:pt>
                <c:pt idx="10">
                  <c:v>2200</c:v>
                </c:pt>
                <c:pt idx="11">
                  <c:v>2335</c:v>
                </c:pt>
                <c:pt idx="12">
                  <c:v>2470</c:v>
                </c:pt>
                <c:pt idx="13">
                  <c:v>2605</c:v>
                </c:pt>
                <c:pt idx="14">
                  <c:v>2740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D1-CC4A-9315-DA6DC470B172}"/>
            </c:ext>
          </c:extLst>
        </c:ser>
        <c:ser>
          <c:idx val="7"/>
          <c:order val="7"/>
          <c:tx>
            <c:strRef>
              <c:f>'heat gen '!$I$29</c:f>
              <c:strCache>
                <c:ptCount val="1"/>
                <c:pt idx="0">
                  <c:v>450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'!$I$30:$I$44</c:f>
              <c:numCache>
                <c:formatCode>General</c:formatCode>
                <c:ptCount val="15"/>
                <c:pt idx="0">
                  <c:v>1267.5</c:v>
                </c:pt>
                <c:pt idx="1">
                  <c:v>1393.8</c:v>
                </c:pt>
                <c:pt idx="2">
                  <c:v>1520</c:v>
                </c:pt>
                <c:pt idx="3">
                  <c:v>1646.3</c:v>
                </c:pt>
                <c:pt idx="4">
                  <c:v>1772.5</c:v>
                </c:pt>
                <c:pt idx="5">
                  <c:v>1898.8</c:v>
                </c:pt>
                <c:pt idx="6">
                  <c:v>2025</c:v>
                </c:pt>
                <c:pt idx="7">
                  <c:v>2156.3000000000002</c:v>
                </c:pt>
                <c:pt idx="8">
                  <c:v>2287.5</c:v>
                </c:pt>
                <c:pt idx="9">
                  <c:v>2418.8000000000002</c:v>
                </c:pt>
                <c:pt idx="10">
                  <c:v>2550</c:v>
                </c:pt>
                <c:pt idx="11">
                  <c:v>2698.8</c:v>
                </c:pt>
                <c:pt idx="12">
                  <c:v>2847.5</c:v>
                </c:pt>
                <c:pt idx="13">
                  <c:v>2996.3</c:v>
                </c:pt>
                <c:pt idx="14">
                  <c:v>3145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D1-CC4A-9315-DA6DC470B172}"/>
            </c:ext>
          </c:extLst>
        </c:ser>
        <c:ser>
          <c:idx val="8"/>
          <c:order val="8"/>
          <c:tx>
            <c:strRef>
              <c:f>'heat gen '!$J$29</c:f>
              <c:strCache>
                <c:ptCount val="1"/>
                <c:pt idx="0">
                  <c:v>500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'!$J$30:$J$44</c:f>
              <c:numCache>
                <c:formatCode>General</c:formatCode>
                <c:ptCount val="15"/>
                <c:pt idx="0">
                  <c:v>1460</c:v>
                </c:pt>
                <c:pt idx="1">
                  <c:v>1600</c:v>
                </c:pt>
                <c:pt idx="2">
                  <c:v>1740</c:v>
                </c:pt>
                <c:pt idx="3">
                  <c:v>1880</c:v>
                </c:pt>
                <c:pt idx="4">
                  <c:v>2020</c:v>
                </c:pt>
                <c:pt idx="5">
                  <c:v>2160</c:v>
                </c:pt>
                <c:pt idx="6">
                  <c:v>2300</c:v>
                </c:pt>
                <c:pt idx="7">
                  <c:v>2450</c:v>
                </c:pt>
                <c:pt idx="8">
                  <c:v>2600</c:v>
                </c:pt>
                <c:pt idx="9">
                  <c:v>2750</c:v>
                </c:pt>
                <c:pt idx="10">
                  <c:v>2900</c:v>
                </c:pt>
                <c:pt idx="11">
                  <c:v>3062.5</c:v>
                </c:pt>
                <c:pt idx="12">
                  <c:v>3225</c:v>
                </c:pt>
                <c:pt idx="13">
                  <c:v>3387.5</c:v>
                </c:pt>
                <c:pt idx="14">
                  <c:v>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D1-CC4A-9315-DA6DC470B172}"/>
            </c:ext>
          </c:extLst>
        </c:ser>
        <c:ser>
          <c:idx val="9"/>
          <c:order val="9"/>
          <c:tx>
            <c:strRef>
              <c:f>'heat gen '!$K$29</c:f>
              <c:strCache>
                <c:ptCount val="1"/>
                <c:pt idx="0">
                  <c:v>550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'!$K$30:$K$44</c:f>
              <c:numCache>
                <c:formatCode>General</c:formatCode>
                <c:ptCount val="15"/>
                <c:pt idx="0">
                  <c:v>1692.5</c:v>
                </c:pt>
                <c:pt idx="1">
                  <c:v>1843.8</c:v>
                </c:pt>
                <c:pt idx="2">
                  <c:v>1995</c:v>
                </c:pt>
                <c:pt idx="3">
                  <c:v>2146.3000000000002</c:v>
                </c:pt>
                <c:pt idx="4">
                  <c:v>2297.5</c:v>
                </c:pt>
                <c:pt idx="5">
                  <c:v>2448.8000000000002</c:v>
                </c:pt>
                <c:pt idx="6">
                  <c:v>2600</c:v>
                </c:pt>
                <c:pt idx="7">
                  <c:v>2768.8</c:v>
                </c:pt>
                <c:pt idx="8">
                  <c:v>2937.5</c:v>
                </c:pt>
                <c:pt idx="9">
                  <c:v>3106.3</c:v>
                </c:pt>
                <c:pt idx="10">
                  <c:v>3275</c:v>
                </c:pt>
                <c:pt idx="11">
                  <c:v>3462.5</c:v>
                </c:pt>
                <c:pt idx="12">
                  <c:v>3650</c:v>
                </c:pt>
                <c:pt idx="13">
                  <c:v>3837.5</c:v>
                </c:pt>
                <c:pt idx="14">
                  <c:v>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D1-CC4A-9315-DA6DC470B172}"/>
            </c:ext>
          </c:extLst>
        </c:ser>
        <c:ser>
          <c:idx val="10"/>
          <c:order val="10"/>
          <c:tx>
            <c:strRef>
              <c:f>'heat gen '!$L$29</c:f>
              <c:strCache>
                <c:ptCount val="1"/>
                <c:pt idx="0">
                  <c:v>600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'heat gen '!$A$30:$A$44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cat>
          <c:val>
            <c:numRef>
              <c:f>'heat gen '!$L$30:$L$44</c:f>
              <c:numCache>
                <c:formatCode>General</c:formatCode>
                <c:ptCount val="15"/>
                <c:pt idx="0">
                  <c:v>1925</c:v>
                </c:pt>
                <c:pt idx="1">
                  <c:v>2087.5</c:v>
                </c:pt>
                <c:pt idx="2">
                  <c:v>2250</c:v>
                </c:pt>
                <c:pt idx="3">
                  <c:v>2412.5</c:v>
                </c:pt>
                <c:pt idx="4">
                  <c:v>2575</c:v>
                </c:pt>
                <c:pt idx="5">
                  <c:v>2737.5</c:v>
                </c:pt>
                <c:pt idx="6">
                  <c:v>2900</c:v>
                </c:pt>
                <c:pt idx="7">
                  <c:v>3087.5</c:v>
                </c:pt>
                <c:pt idx="8">
                  <c:v>3275</c:v>
                </c:pt>
                <c:pt idx="9">
                  <c:v>3462.5</c:v>
                </c:pt>
                <c:pt idx="10">
                  <c:v>3650</c:v>
                </c:pt>
                <c:pt idx="11">
                  <c:v>3862.5</c:v>
                </c:pt>
                <c:pt idx="12">
                  <c:v>4075</c:v>
                </c:pt>
                <c:pt idx="13">
                  <c:v>4287.5</c:v>
                </c:pt>
                <c:pt idx="14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D1-CC4A-9315-DA6DC470B17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864032575"/>
        <c:axId val="1864038847"/>
        <c:axId val="2134942719"/>
      </c:surface3DChart>
      <c:catAx>
        <c:axId val="1864032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38847"/>
        <c:crosses val="autoZero"/>
        <c:auto val="1"/>
        <c:lblAlgn val="ctr"/>
        <c:lblOffset val="100"/>
        <c:noMultiLvlLbl val="0"/>
      </c:catAx>
      <c:valAx>
        <c:axId val="186403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32575"/>
        <c:crosses val="autoZero"/>
        <c:crossBetween val="midCat"/>
      </c:valAx>
      <c:serAx>
        <c:axId val="21349427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3884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0</xdr:row>
      <xdr:rowOff>50800</xdr:rowOff>
    </xdr:from>
    <xdr:to>
      <xdr:col>11</xdr:col>
      <xdr:colOff>393700</xdr:colOff>
      <xdr:row>20</xdr:row>
      <xdr:rowOff>193337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A599C-42F9-34B1-FBB5-C56998740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800" y="50800"/>
          <a:ext cx="7772400" cy="4206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82551</xdr:colOff>
      <xdr:row>6</xdr:row>
      <xdr:rowOff>122767</xdr:rowOff>
    </xdr:from>
    <xdr:to>
      <xdr:col>26</xdr:col>
      <xdr:colOff>635000</xdr:colOff>
      <xdr:row>40</xdr:row>
      <xdr:rowOff>153275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4965E-A9BA-05E3-104D-EDE92D23D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368300</xdr:colOff>
      <xdr:row>0</xdr:row>
      <xdr:rowOff>0</xdr:rowOff>
    </xdr:from>
    <xdr:to>
      <xdr:col>10</xdr:col>
      <xdr:colOff>711200</xdr:colOff>
      <xdr:row>7</xdr:row>
      <xdr:rowOff>108347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4728DA-B053-4AD1-52BD-FF1F91A9B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800" y="0"/>
          <a:ext cx="7772400" cy="1530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s.misumi-ec.com/blog/specific-heat-capacity-of-metal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1249-4178-FF4D-8532-154CF090EC11}">
  <dimension ref="A1:F31"/>
  <sheetViews>
    <sheetView workbookViewId="0">
      <selection activeCell="C34" sqref="C34"/>
    </sheetView>
  </sheetViews>
  <sheetFormatPr baseColWidth="10" defaultRowHeight="16" x14ac:dyDescent="0.2"/>
  <sheetData>
    <row r="1" spans="1:1" x14ac:dyDescent="0.2">
      <c r="A1" s="1"/>
    </row>
    <row r="23" spans="1:6" x14ac:dyDescent="0.2">
      <c r="F23" t="s">
        <v>16</v>
      </c>
    </row>
    <row r="26" spans="1:6" x14ac:dyDescent="0.2">
      <c r="A26" t="s">
        <v>17</v>
      </c>
    </row>
    <row r="27" spans="1:6" x14ac:dyDescent="0.2">
      <c r="A27" t="s">
        <v>18</v>
      </c>
    </row>
    <row r="28" spans="1:6" x14ac:dyDescent="0.2">
      <c r="A28" t="s">
        <v>19</v>
      </c>
    </row>
    <row r="29" spans="1:6" x14ac:dyDescent="0.2">
      <c r="A29" t="s">
        <v>20</v>
      </c>
    </row>
    <row r="31" spans="1:6" x14ac:dyDescent="0.2">
      <c r="A31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7BD2-1C6A-A44A-B9A3-BD8792C44D30}">
  <dimension ref="A1:F5"/>
  <sheetViews>
    <sheetView workbookViewId="0">
      <selection activeCell="G8" sqref="G8"/>
    </sheetView>
  </sheetViews>
  <sheetFormatPr baseColWidth="10" defaultRowHeight="16" x14ac:dyDescent="0.2"/>
  <sheetData>
    <row r="1" spans="1:6" x14ac:dyDescent="0.2">
      <c r="A1" t="s">
        <v>0</v>
      </c>
      <c r="E1" t="s">
        <v>3</v>
      </c>
    </row>
    <row r="2" spans="1:6" x14ac:dyDescent="0.2">
      <c r="A2" t="s">
        <v>1</v>
      </c>
      <c r="F2" t="s">
        <v>4</v>
      </c>
    </row>
    <row r="3" spans="1:6" x14ac:dyDescent="0.2">
      <c r="A3" t="s">
        <v>2</v>
      </c>
      <c r="F3" t="s">
        <v>5</v>
      </c>
    </row>
    <row r="4" spans="1:6" x14ac:dyDescent="0.2">
      <c r="A4" s="2" t="s">
        <v>6</v>
      </c>
      <c r="F4" t="s">
        <v>7</v>
      </c>
    </row>
    <row r="5" spans="1:6" x14ac:dyDescent="0.2">
      <c r="A5" t="s">
        <v>8</v>
      </c>
      <c r="E5" t="s">
        <v>9</v>
      </c>
    </row>
  </sheetData>
  <hyperlinks>
    <hyperlink ref="A4" r:id="rId1" xr:uid="{97907032-DABC-B948-9F7F-D3321185FAB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7679-7C0A-3144-AE29-FD19BD88110E}">
  <dimension ref="A1:A4"/>
  <sheetViews>
    <sheetView workbookViewId="0">
      <selection activeCell="C9" sqref="C9"/>
    </sheetView>
  </sheetViews>
  <sheetFormatPr baseColWidth="10" defaultRowHeight="16" x14ac:dyDescent="0.2"/>
  <sheetData>
    <row r="1" spans="1:1" x14ac:dyDescent="0.2">
      <c r="A1" t="s">
        <v>10</v>
      </c>
    </row>
    <row r="3" spans="1:1" x14ac:dyDescent="0.2">
      <c r="A3" t="s">
        <v>11</v>
      </c>
    </row>
    <row r="4" spans="1:1" x14ac:dyDescent="0.2">
      <c r="A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74C9-D5C1-C840-A3F6-23FC81E0B153}">
  <dimension ref="A1:N44"/>
  <sheetViews>
    <sheetView tabSelected="1" zoomScale="65" workbookViewId="0">
      <selection activeCell="A29" sqref="A29:L44"/>
    </sheetView>
  </sheetViews>
  <sheetFormatPr baseColWidth="10" defaultRowHeight="16" x14ac:dyDescent="0.2"/>
  <sheetData>
    <row r="1" spans="1:14" x14ac:dyDescent="0.2">
      <c r="A1" t="s">
        <v>13</v>
      </c>
      <c r="C1" t="s">
        <v>14</v>
      </c>
      <c r="N1" s="3"/>
    </row>
    <row r="2" spans="1:14" x14ac:dyDescent="0.2">
      <c r="B2">
        <v>100</v>
      </c>
      <c r="C2">
        <v>200</v>
      </c>
      <c r="D2">
        <v>300</v>
      </c>
      <c r="E2">
        <v>400</v>
      </c>
      <c r="F2">
        <v>500</v>
      </c>
      <c r="G2">
        <v>600</v>
      </c>
      <c r="I2" s="3"/>
    </row>
    <row r="3" spans="1:14" x14ac:dyDescent="0.2">
      <c r="A3">
        <v>200</v>
      </c>
      <c r="B3">
        <v>261</v>
      </c>
      <c r="C3">
        <v>552</v>
      </c>
      <c r="D3">
        <v>894</v>
      </c>
      <c r="E3">
        <v>1300</v>
      </c>
      <c r="F3">
        <v>1740</v>
      </c>
      <c r="G3">
        <v>2250</v>
      </c>
    </row>
    <row r="4" spans="1:14" x14ac:dyDescent="0.2">
      <c r="A4">
        <v>400</v>
      </c>
      <c r="B4">
        <v>384</v>
      </c>
      <c r="C4">
        <v>783</v>
      </c>
      <c r="D4">
        <v>1233</v>
      </c>
      <c r="E4">
        <v>1750</v>
      </c>
      <c r="F4">
        <v>2300</v>
      </c>
      <c r="G4">
        <v>2900</v>
      </c>
    </row>
    <row r="5" spans="1:14" x14ac:dyDescent="0.2">
      <c r="A5">
        <v>600</v>
      </c>
      <c r="B5">
        <v>513</v>
      </c>
      <c r="C5">
        <v>1020</v>
      </c>
      <c r="D5">
        <v>1584</v>
      </c>
      <c r="E5">
        <v>2200</v>
      </c>
      <c r="F5">
        <v>2900</v>
      </c>
      <c r="G5">
        <v>3650</v>
      </c>
    </row>
    <row r="6" spans="1:14" x14ac:dyDescent="0.2">
      <c r="A6">
        <v>800</v>
      </c>
      <c r="B6">
        <v>642</v>
      </c>
      <c r="C6">
        <v>1260</v>
      </c>
      <c r="D6">
        <v>1956</v>
      </c>
      <c r="E6">
        <v>2740</v>
      </c>
      <c r="F6">
        <v>3550</v>
      </c>
      <c r="G6">
        <v>4500</v>
      </c>
    </row>
    <row r="10" spans="1:14" x14ac:dyDescent="0.2">
      <c r="C10" s="3"/>
    </row>
    <row r="11" spans="1:14" x14ac:dyDescent="0.2">
      <c r="C11" s="3"/>
    </row>
    <row r="28" spans="1:12" x14ac:dyDescent="0.2">
      <c r="B28" s="6" t="s">
        <v>15</v>
      </c>
    </row>
    <row r="29" spans="1:12" x14ac:dyDescent="0.2">
      <c r="A29" s="4"/>
      <c r="B29" s="4">
        <v>100</v>
      </c>
      <c r="C29" s="4">
        <v>150</v>
      </c>
      <c r="D29" s="4">
        <v>200</v>
      </c>
      <c r="E29" s="4">
        <v>250</v>
      </c>
      <c r="F29" s="4">
        <v>300</v>
      </c>
      <c r="G29" s="4">
        <v>350</v>
      </c>
      <c r="H29" s="4">
        <v>400</v>
      </c>
      <c r="I29" s="4">
        <v>450</v>
      </c>
      <c r="J29" s="4">
        <v>500</v>
      </c>
      <c r="K29" s="4">
        <v>550</v>
      </c>
      <c r="L29" s="4">
        <v>600</v>
      </c>
    </row>
    <row r="30" spans="1:12" x14ac:dyDescent="0.2">
      <c r="A30" s="4">
        <v>100</v>
      </c>
      <c r="B30" s="5">
        <v>199.5</v>
      </c>
      <c r="C30" s="5">
        <v>318</v>
      </c>
      <c r="D30" s="5">
        <v>436.5</v>
      </c>
      <c r="E30" s="5">
        <v>580.5</v>
      </c>
      <c r="F30" s="5">
        <v>724.5</v>
      </c>
      <c r="G30" s="5">
        <v>899.8</v>
      </c>
      <c r="H30" s="5">
        <v>1075</v>
      </c>
      <c r="I30" s="5">
        <v>1267.5</v>
      </c>
      <c r="J30" s="5">
        <v>1460</v>
      </c>
      <c r="K30" s="5">
        <v>1692.5</v>
      </c>
      <c r="L30" s="5">
        <v>1925</v>
      </c>
    </row>
    <row r="31" spans="1:12" x14ac:dyDescent="0.2">
      <c r="A31" s="4">
        <v>150</v>
      </c>
      <c r="B31" s="5">
        <v>230.3</v>
      </c>
      <c r="C31" s="5">
        <v>362.3</v>
      </c>
      <c r="D31" s="5">
        <v>494.3</v>
      </c>
      <c r="E31" s="5">
        <v>651.79999999999995</v>
      </c>
      <c r="F31" s="5">
        <v>809.3</v>
      </c>
      <c r="G31" s="5">
        <v>998.4</v>
      </c>
      <c r="H31" s="5">
        <v>1187.5</v>
      </c>
      <c r="I31" s="5">
        <v>1393.8</v>
      </c>
      <c r="J31" s="5">
        <v>1600</v>
      </c>
      <c r="K31" s="5">
        <v>1843.8</v>
      </c>
      <c r="L31" s="5">
        <v>2087.5</v>
      </c>
    </row>
    <row r="32" spans="1:12" x14ac:dyDescent="0.2">
      <c r="A32" s="4">
        <v>200</v>
      </c>
      <c r="B32" s="5">
        <v>261</v>
      </c>
      <c r="C32" s="5">
        <v>406.5</v>
      </c>
      <c r="D32" s="5">
        <v>552</v>
      </c>
      <c r="E32" s="5">
        <v>723</v>
      </c>
      <c r="F32" s="5">
        <v>894</v>
      </c>
      <c r="G32" s="5">
        <v>1097</v>
      </c>
      <c r="H32" s="5">
        <v>1300</v>
      </c>
      <c r="I32" s="5">
        <v>1520</v>
      </c>
      <c r="J32" s="5">
        <v>1740</v>
      </c>
      <c r="K32" s="5">
        <v>1995</v>
      </c>
      <c r="L32" s="5">
        <v>2250</v>
      </c>
    </row>
    <row r="33" spans="1:12" x14ac:dyDescent="0.2">
      <c r="A33" s="4">
        <v>250</v>
      </c>
      <c r="B33" s="5">
        <v>291.8</v>
      </c>
      <c r="C33" s="5">
        <v>450.8</v>
      </c>
      <c r="D33" s="5">
        <v>609.79999999999995</v>
      </c>
      <c r="E33" s="5">
        <v>794.3</v>
      </c>
      <c r="F33" s="5">
        <v>978.8</v>
      </c>
      <c r="G33" s="5">
        <v>1195.5999999999999</v>
      </c>
      <c r="H33" s="5">
        <v>1412.5</v>
      </c>
      <c r="I33" s="5">
        <v>1646.3</v>
      </c>
      <c r="J33" s="5">
        <v>1880</v>
      </c>
      <c r="K33" s="5">
        <v>2146.3000000000002</v>
      </c>
      <c r="L33" s="5">
        <v>2412.5</v>
      </c>
    </row>
    <row r="34" spans="1:12" x14ac:dyDescent="0.2">
      <c r="A34" s="4">
        <v>300</v>
      </c>
      <c r="B34" s="5">
        <v>322.5</v>
      </c>
      <c r="C34" s="5">
        <v>495</v>
      </c>
      <c r="D34" s="5">
        <v>667.5</v>
      </c>
      <c r="E34" s="5">
        <v>865.5</v>
      </c>
      <c r="F34" s="5">
        <v>1063.5</v>
      </c>
      <c r="G34" s="5">
        <v>1294.3</v>
      </c>
      <c r="H34" s="5">
        <v>1525</v>
      </c>
      <c r="I34" s="5">
        <v>1772.5</v>
      </c>
      <c r="J34" s="5">
        <v>2020</v>
      </c>
      <c r="K34" s="5">
        <v>2297.5</v>
      </c>
      <c r="L34" s="5">
        <v>2575</v>
      </c>
    </row>
    <row r="35" spans="1:12" x14ac:dyDescent="0.2">
      <c r="A35" s="4">
        <v>350</v>
      </c>
      <c r="B35" s="5">
        <v>353.3</v>
      </c>
      <c r="C35" s="5">
        <v>539.29999999999995</v>
      </c>
      <c r="D35" s="5">
        <v>725.3</v>
      </c>
      <c r="E35" s="5">
        <v>936.8</v>
      </c>
      <c r="F35" s="5">
        <v>1148.3</v>
      </c>
      <c r="G35" s="5">
        <v>1392.9</v>
      </c>
      <c r="H35" s="5">
        <v>1637.5</v>
      </c>
      <c r="I35" s="5">
        <v>1898.8</v>
      </c>
      <c r="J35" s="5">
        <v>2160</v>
      </c>
      <c r="K35" s="5">
        <v>2448.8000000000002</v>
      </c>
      <c r="L35" s="5">
        <v>2737.5</v>
      </c>
    </row>
    <row r="36" spans="1:12" x14ac:dyDescent="0.2">
      <c r="A36" s="4">
        <v>400</v>
      </c>
      <c r="B36" s="5">
        <v>384</v>
      </c>
      <c r="C36" s="5">
        <v>583.5</v>
      </c>
      <c r="D36" s="5">
        <v>783</v>
      </c>
      <c r="E36" s="5">
        <v>1008</v>
      </c>
      <c r="F36" s="5">
        <v>1233</v>
      </c>
      <c r="G36" s="5">
        <v>1491.5</v>
      </c>
      <c r="H36" s="5">
        <v>1750</v>
      </c>
      <c r="I36" s="5">
        <v>2025</v>
      </c>
      <c r="J36" s="5">
        <v>2300</v>
      </c>
      <c r="K36" s="5">
        <v>2600</v>
      </c>
      <c r="L36" s="5">
        <v>2900</v>
      </c>
    </row>
    <row r="37" spans="1:12" x14ac:dyDescent="0.2">
      <c r="A37" s="4">
        <v>450</v>
      </c>
      <c r="B37" s="5">
        <v>416.3</v>
      </c>
      <c r="C37" s="5">
        <v>629.29999999999995</v>
      </c>
      <c r="D37" s="5">
        <v>842.3</v>
      </c>
      <c r="E37" s="5">
        <v>1081.5</v>
      </c>
      <c r="F37" s="5">
        <v>1320.8</v>
      </c>
      <c r="G37" s="5">
        <v>1591.6</v>
      </c>
      <c r="H37" s="5">
        <v>1862.5</v>
      </c>
      <c r="I37" s="5">
        <v>2156.3000000000002</v>
      </c>
      <c r="J37" s="5">
        <v>2450</v>
      </c>
      <c r="K37" s="5">
        <v>2768.8</v>
      </c>
      <c r="L37" s="5">
        <v>3087.5</v>
      </c>
    </row>
    <row r="38" spans="1:12" x14ac:dyDescent="0.2">
      <c r="A38" s="4">
        <v>500</v>
      </c>
      <c r="B38" s="5">
        <v>448.5</v>
      </c>
      <c r="C38" s="5">
        <v>675</v>
      </c>
      <c r="D38" s="5">
        <v>901.5</v>
      </c>
      <c r="E38" s="5">
        <v>1155</v>
      </c>
      <c r="F38" s="5">
        <v>1408.5</v>
      </c>
      <c r="G38" s="5">
        <v>1691.8</v>
      </c>
      <c r="H38" s="5">
        <v>1975</v>
      </c>
      <c r="I38" s="5">
        <v>2287.5</v>
      </c>
      <c r="J38" s="5">
        <v>2600</v>
      </c>
      <c r="K38" s="5">
        <v>2937.5</v>
      </c>
      <c r="L38" s="5">
        <v>3275</v>
      </c>
    </row>
    <row r="39" spans="1:12" x14ac:dyDescent="0.2">
      <c r="A39" s="4">
        <v>550</v>
      </c>
      <c r="B39" s="5">
        <v>480.8</v>
      </c>
      <c r="C39" s="5">
        <v>720.8</v>
      </c>
      <c r="D39" s="5">
        <v>960.8</v>
      </c>
      <c r="E39" s="5">
        <v>1228.5</v>
      </c>
      <c r="F39" s="5">
        <v>1496.3</v>
      </c>
      <c r="G39" s="5">
        <v>1791.9</v>
      </c>
      <c r="H39" s="5">
        <v>2087.5</v>
      </c>
      <c r="I39" s="5">
        <v>2418.8000000000002</v>
      </c>
      <c r="J39" s="5">
        <v>2750</v>
      </c>
      <c r="K39" s="5">
        <v>3106.3</v>
      </c>
      <c r="L39" s="5">
        <v>3462.5</v>
      </c>
    </row>
    <row r="40" spans="1:12" x14ac:dyDescent="0.2">
      <c r="A40" s="4">
        <v>600</v>
      </c>
      <c r="B40" s="5">
        <v>513</v>
      </c>
      <c r="C40" s="5">
        <v>766.5</v>
      </c>
      <c r="D40" s="5">
        <v>1020</v>
      </c>
      <c r="E40" s="5">
        <v>1302</v>
      </c>
      <c r="F40" s="5">
        <v>1584</v>
      </c>
      <c r="G40" s="5">
        <v>1892</v>
      </c>
      <c r="H40" s="5">
        <v>2200</v>
      </c>
      <c r="I40" s="5">
        <v>2550</v>
      </c>
      <c r="J40" s="5">
        <v>2900</v>
      </c>
      <c r="K40" s="5">
        <v>3275</v>
      </c>
      <c r="L40" s="5">
        <v>3650</v>
      </c>
    </row>
    <row r="41" spans="1:12" x14ac:dyDescent="0.2">
      <c r="A41" s="4">
        <v>650</v>
      </c>
      <c r="B41" s="5">
        <v>545.29999999999995</v>
      </c>
      <c r="C41" s="5">
        <v>812.6</v>
      </c>
      <c r="D41" s="5">
        <v>1080</v>
      </c>
      <c r="E41" s="5">
        <v>1378.5</v>
      </c>
      <c r="F41" s="5">
        <v>1677</v>
      </c>
      <c r="G41" s="5">
        <v>2006</v>
      </c>
      <c r="H41" s="5">
        <v>2335</v>
      </c>
      <c r="I41" s="5">
        <v>2698.8</v>
      </c>
      <c r="J41" s="5">
        <v>3062.5</v>
      </c>
      <c r="K41" s="5">
        <v>3462.5</v>
      </c>
      <c r="L41" s="5">
        <v>3862.5</v>
      </c>
    </row>
    <row r="42" spans="1:12" x14ac:dyDescent="0.2">
      <c r="A42" s="4">
        <v>700</v>
      </c>
      <c r="B42" s="5">
        <v>577.5</v>
      </c>
      <c r="C42" s="5">
        <v>858.8</v>
      </c>
      <c r="D42" s="5">
        <v>1140</v>
      </c>
      <c r="E42" s="5">
        <v>1455</v>
      </c>
      <c r="F42" s="5">
        <v>1770</v>
      </c>
      <c r="G42" s="5">
        <v>2120</v>
      </c>
      <c r="H42" s="5">
        <v>2470</v>
      </c>
      <c r="I42" s="5">
        <v>2847.5</v>
      </c>
      <c r="J42" s="5">
        <v>3225</v>
      </c>
      <c r="K42" s="5">
        <v>3650</v>
      </c>
      <c r="L42" s="5">
        <v>4075</v>
      </c>
    </row>
    <row r="43" spans="1:12" x14ac:dyDescent="0.2">
      <c r="A43" s="4">
        <v>750</v>
      </c>
      <c r="B43" s="5">
        <v>609.79999999999995</v>
      </c>
      <c r="C43" s="5">
        <v>904.9</v>
      </c>
      <c r="D43" s="5">
        <v>1200</v>
      </c>
      <c r="E43" s="5">
        <v>1531.5</v>
      </c>
      <c r="F43" s="5">
        <v>1863</v>
      </c>
      <c r="G43" s="5">
        <v>2234</v>
      </c>
      <c r="H43" s="5">
        <v>2605</v>
      </c>
      <c r="I43" s="5">
        <v>2996.3</v>
      </c>
      <c r="J43" s="5">
        <v>3387.5</v>
      </c>
      <c r="K43" s="5">
        <v>3837.5</v>
      </c>
      <c r="L43" s="5">
        <v>4287.5</v>
      </c>
    </row>
    <row r="44" spans="1:12" x14ac:dyDescent="0.2">
      <c r="A44" s="4">
        <v>800</v>
      </c>
      <c r="B44" s="5">
        <v>642</v>
      </c>
      <c r="C44" s="5">
        <v>951</v>
      </c>
      <c r="D44" s="5">
        <v>1260</v>
      </c>
      <c r="E44" s="5">
        <v>1608</v>
      </c>
      <c r="F44" s="5">
        <v>1956</v>
      </c>
      <c r="G44" s="5">
        <v>2348</v>
      </c>
      <c r="H44" s="5">
        <v>2740</v>
      </c>
      <c r="I44" s="5">
        <v>3145</v>
      </c>
      <c r="J44" s="5">
        <v>3550</v>
      </c>
      <c r="K44" s="5">
        <v>4025</v>
      </c>
      <c r="L44" s="5">
        <v>4500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B012-9D1B-F046-BBD1-162FCD42AC04}">
  <dimension ref="A5:L26"/>
  <sheetViews>
    <sheetView workbookViewId="0">
      <selection activeCell="F27" sqref="F27"/>
    </sheetView>
  </sheetViews>
  <sheetFormatPr baseColWidth="10" defaultRowHeight="16" x14ac:dyDescent="0.2"/>
  <sheetData>
    <row r="5" spans="1:12" x14ac:dyDescent="0.2">
      <c r="A5" t="s">
        <v>22</v>
      </c>
      <c r="L5" t="s">
        <v>28</v>
      </c>
    </row>
    <row r="11" spans="1:12" x14ac:dyDescent="0.2">
      <c r="A11" t="s">
        <v>23</v>
      </c>
      <c r="F11" t="s">
        <v>60</v>
      </c>
    </row>
    <row r="12" spans="1:12" x14ac:dyDescent="0.2">
      <c r="F12" t="s">
        <v>61</v>
      </c>
    </row>
    <row r="13" spans="1:12" x14ac:dyDescent="0.2">
      <c r="F13" t="s">
        <v>62</v>
      </c>
    </row>
    <row r="14" spans="1:12" x14ac:dyDescent="0.2">
      <c r="A14" t="s">
        <v>25</v>
      </c>
      <c r="F14" t="s">
        <v>63</v>
      </c>
    </row>
    <row r="15" spans="1:12" x14ac:dyDescent="0.2">
      <c r="A15" s="7" t="s">
        <v>27</v>
      </c>
      <c r="F15" t="s">
        <v>64</v>
      </c>
    </row>
    <row r="16" spans="1:12" x14ac:dyDescent="0.2">
      <c r="F16" t="s">
        <v>65</v>
      </c>
    </row>
    <row r="17" spans="1:9" x14ac:dyDescent="0.2">
      <c r="A17" t="s">
        <v>24</v>
      </c>
    </row>
    <row r="18" spans="1:9" x14ac:dyDescent="0.2">
      <c r="A18" s="7" t="s">
        <v>26</v>
      </c>
      <c r="F18" t="s">
        <v>66</v>
      </c>
    </row>
    <row r="19" spans="1:9" x14ac:dyDescent="0.2">
      <c r="F19" t="s">
        <v>67</v>
      </c>
    </row>
    <row r="20" spans="1:9" x14ac:dyDescent="0.2">
      <c r="A20" t="s">
        <v>29</v>
      </c>
      <c r="B20" t="s">
        <v>31</v>
      </c>
      <c r="F20" t="s">
        <v>68</v>
      </c>
      <c r="I20" t="s">
        <v>69</v>
      </c>
    </row>
    <row r="21" spans="1:9" x14ac:dyDescent="0.2">
      <c r="A21" t="s">
        <v>30</v>
      </c>
      <c r="C21" t="s">
        <v>35</v>
      </c>
    </row>
    <row r="22" spans="1:9" x14ac:dyDescent="0.2">
      <c r="A22" t="s">
        <v>32</v>
      </c>
      <c r="C22" t="s">
        <v>36</v>
      </c>
      <c r="F22" t="s">
        <v>70</v>
      </c>
    </row>
    <row r="23" spans="1:9" x14ac:dyDescent="0.2">
      <c r="A23" t="s">
        <v>33</v>
      </c>
      <c r="C23" t="s">
        <v>34</v>
      </c>
      <c r="F23" t="s">
        <v>71</v>
      </c>
    </row>
    <row r="24" spans="1:9" x14ac:dyDescent="0.2">
      <c r="F24" t="s">
        <v>72</v>
      </c>
    </row>
    <row r="25" spans="1:9" x14ac:dyDescent="0.2">
      <c r="F25" t="s">
        <v>73</v>
      </c>
    </row>
    <row r="26" spans="1:9" x14ac:dyDescent="0.2">
      <c r="F26" t="s">
        <v>74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02E8-778B-0041-97B0-CF99AB75AFB5}">
  <dimension ref="A1:L9"/>
  <sheetViews>
    <sheetView workbookViewId="0">
      <selection activeCell="L6" sqref="L6"/>
    </sheetView>
  </sheetViews>
  <sheetFormatPr baseColWidth="10" defaultRowHeight="16" x14ac:dyDescent="0.2"/>
  <sheetData>
    <row r="1" spans="1:12" x14ac:dyDescent="0.2">
      <c r="A1" t="s">
        <v>37</v>
      </c>
      <c r="C1" t="s">
        <v>40</v>
      </c>
      <c r="E1" t="s">
        <v>42</v>
      </c>
      <c r="H1" t="s">
        <v>44</v>
      </c>
      <c r="L1" t="s">
        <v>79</v>
      </c>
    </row>
    <row r="2" spans="1:12" x14ac:dyDescent="0.2">
      <c r="A2" t="s">
        <v>38</v>
      </c>
      <c r="C2" t="s">
        <v>41</v>
      </c>
      <c r="E2" t="s">
        <v>43</v>
      </c>
      <c r="H2" t="s">
        <v>45</v>
      </c>
    </row>
    <row r="3" spans="1:12" x14ac:dyDescent="0.2">
      <c r="A3">
        <v>0.59</v>
      </c>
      <c r="C3" t="s">
        <v>75</v>
      </c>
      <c r="H3">
        <v>500</v>
      </c>
    </row>
    <row r="4" spans="1:12" x14ac:dyDescent="0.2">
      <c r="A4" t="s">
        <v>39</v>
      </c>
      <c r="H4" t="s">
        <v>46</v>
      </c>
    </row>
    <row r="5" spans="1:12" x14ac:dyDescent="0.2">
      <c r="A5">
        <v>1.25</v>
      </c>
      <c r="H5" t="s">
        <v>77</v>
      </c>
    </row>
    <row r="6" spans="1:12" x14ac:dyDescent="0.2">
      <c r="H6" t="s">
        <v>47</v>
      </c>
    </row>
    <row r="7" spans="1:12" x14ac:dyDescent="0.2">
      <c r="H7" t="s">
        <v>78</v>
      </c>
    </row>
    <row r="8" spans="1:12" x14ac:dyDescent="0.2">
      <c r="H8" t="s">
        <v>48</v>
      </c>
    </row>
    <row r="9" spans="1:12" x14ac:dyDescent="0.2">
      <c r="H9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2403-2D31-AC40-8954-0B80D0F3ADE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1C12-77D4-5643-B031-890CDAE27253}">
  <dimension ref="A1:A16"/>
  <sheetViews>
    <sheetView workbookViewId="0">
      <selection activeCell="B17" sqref="B17"/>
    </sheetView>
  </sheetViews>
  <sheetFormatPr baseColWidth="10" defaultRowHeight="16" x14ac:dyDescent="0.2"/>
  <sheetData>
    <row r="1" spans="1:1" x14ac:dyDescent="0.2">
      <c r="A1" t="s">
        <v>49</v>
      </c>
    </row>
    <row r="3" spans="1:1" x14ac:dyDescent="0.2">
      <c r="A3" t="s">
        <v>50</v>
      </c>
    </row>
    <row r="6" spans="1:1" x14ac:dyDescent="0.2">
      <c r="A6" t="s">
        <v>51</v>
      </c>
    </row>
    <row r="9" spans="1:1" x14ac:dyDescent="0.2">
      <c r="A9" t="s">
        <v>52</v>
      </c>
    </row>
    <row r="10" spans="1:1" x14ac:dyDescent="0.2">
      <c r="A10" t="s">
        <v>54</v>
      </c>
    </row>
    <row r="11" spans="1:1" x14ac:dyDescent="0.2">
      <c r="A11" t="s">
        <v>56</v>
      </c>
    </row>
    <row r="12" spans="1:1" x14ac:dyDescent="0.2">
      <c r="A12" t="s">
        <v>57</v>
      </c>
    </row>
    <row r="13" spans="1:1" x14ac:dyDescent="0.2">
      <c r="A13" t="s">
        <v>58</v>
      </c>
    </row>
    <row r="14" spans="1:1" x14ac:dyDescent="0.2">
      <c r="A14" t="s">
        <v>59</v>
      </c>
    </row>
    <row r="15" spans="1:1" x14ac:dyDescent="0.2">
      <c r="A15" t="s">
        <v>53</v>
      </c>
    </row>
    <row r="16" spans="1:1" x14ac:dyDescent="0.2">
      <c r="A1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Accumalator grpah</vt:lpstr>
      <vt:lpstr>motor spectulations</vt:lpstr>
      <vt:lpstr>battary data</vt:lpstr>
      <vt:lpstr>heat gen </vt:lpstr>
      <vt:lpstr>cooling flow </vt:lpstr>
      <vt:lpstr>car data E25</vt:lpstr>
      <vt:lpstr>Car data E27</vt:lpstr>
      <vt:lpstr>current regne confug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Agboola, Muizz</dc:creator>
  <cp:lastModifiedBy>Agboola, Muizz</cp:lastModifiedBy>
  <dcterms:created xsi:type="dcterms:W3CDTF">2026-03-04T00:36:54Z</dcterms:created>
  <dcterms:modified xsi:type="dcterms:W3CDTF">2026-04-06T00:23:02Z</dcterms:modified>
</cp:coreProperties>
</file>