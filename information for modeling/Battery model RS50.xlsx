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heme/themeOverride1.xml" ContentType="application/vnd.openxmlformats-officedocument.themeOverride+xml"/>
  <Override PartName="/xl/drawings/drawing2.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Users/muizz_1/Documents/information for modeling/"/>
    </mc:Choice>
  </mc:AlternateContent>
  <xr:revisionPtr revIDLastSave="0" documentId="13_ncr:1_{6A09C210-E5A8-8D4F-A5D3-03B211C942F2}" xr6:coauthVersionLast="47" xr6:coauthVersionMax="47" xr10:uidLastSave="{00000000-0000-0000-0000-000000000000}"/>
  <bookViews>
    <workbookView xWindow="1060" yWindow="660" windowWidth="29180" windowHeight="18980" activeTab="2" xr2:uid="{E12A0F30-4599-42AA-A95B-D804A76ECA07}"/>
  </bookViews>
  <sheets>
    <sheet name="DCIR Surface" sheetId="1" r:id="rId1"/>
    <sheet name="Entropic Heat &amp; VOC" sheetId="6" r:id="rId2"/>
    <sheet name="ECM Parameters" sheetId="7" r:id="rId3"/>
    <sheet name="Sheet3" sheetId="3" r:id="rId4"/>
    <sheet name="Sheet5" sheetId="5" r:id="rId5"/>
    <sheet name="Interpolation" sheetId="2"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7" i="7" l="1"/>
  <c r="P20" i="7"/>
  <c r="P27" i="7"/>
  <c r="P26" i="7"/>
  <c r="P25" i="7"/>
  <c r="P24" i="7"/>
  <c r="C27" i="7"/>
  <c r="C26" i="7"/>
  <c r="C25" i="7"/>
  <c r="C24" i="7"/>
  <c r="P19" i="7"/>
  <c r="P18" i="7"/>
  <c r="P17" i="7"/>
  <c r="C20" i="7"/>
  <c r="C19" i="7"/>
  <c r="C18" i="7"/>
  <c r="C17" i="7"/>
  <c r="Z20" i="7"/>
  <c r="Y20" i="7"/>
  <c r="X20" i="7"/>
  <c r="W20" i="7"/>
  <c r="V20" i="7"/>
  <c r="U20" i="7"/>
  <c r="T20" i="7"/>
  <c r="S20" i="7"/>
  <c r="R20" i="7"/>
  <c r="Q20" i="7"/>
  <c r="Z19" i="7"/>
  <c r="Y19" i="7"/>
  <c r="X19" i="7"/>
  <c r="W19" i="7"/>
  <c r="V19" i="7"/>
  <c r="U19" i="7"/>
  <c r="T19" i="7"/>
  <c r="S19" i="7"/>
  <c r="R19" i="7"/>
  <c r="Q19" i="7"/>
  <c r="Z18" i="7"/>
  <c r="Y18" i="7"/>
  <c r="X18" i="7"/>
  <c r="W18" i="7"/>
  <c r="V18" i="7"/>
  <c r="U18" i="7"/>
  <c r="T18" i="7"/>
  <c r="S18" i="7"/>
  <c r="R18" i="7"/>
  <c r="Q18" i="7"/>
  <c r="Z17" i="7"/>
  <c r="Y17" i="7"/>
  <c r="X17" i="7"/>
  <c r="W17" i="7"/>
  <c r="V17" i="7"/>
  <c r="U17" i="7"/>
  <c r="T17" i="7"/>
  <c r="S17" i="7"/>
  <c r="R17" i="7"/>
  <c r="D18" i="7"/>
  <c r="E18" i="7"/>
  <c r="F18" i="7"/>
  <c r="G18" i="7"/>
  <c r="H18" i="7"/>
  <c r="I18" i="7"/>
  <c r="J18" i="7"/>
  <c r="K18" i="7"/>
  <c r="L18" i="7"/>
  <c r="M18" i="7"/>
  <c r="D19" i="7"/>
  <c r="E19" i="7"/>
  <c r="F19" i="7"/>
  <c r="G19" i="7"/>
  <c r="H19" i="7"/>
  <c r="I19" i="7"/>
  <c r="J19" i="7"/>
  <c r="K19" i="7"/>
  <c r="L19" i="7"/>
  <c r="M19" i="7"/>
  <c r="D20" i="7"/>
  <c r="E20" i="7"/>
  <c r="F20" i="7"/>
  <c r="G20" i="7"/>
  <c r="H20" i="7"/>
  <c r="I20" i="7"/>
  <c r="J20" i="7"/>
  <c r="K20" i="7"/>
  <c r="L20" i="7"/>
  <c r="M20" i="7"/>
  <c r="E17" i="7"/>
  <c r="F17" i="7"/>
  <c r="G17" i="7"/>
  <c r="H17" i="7"/>
  <c r="I17" i="7"/>
  <c r="J17" i="7"/>
  <c r="K17" i="7"/>
  <c r="L17" i="7"/>
  <c r="M17" i="7"/>
  <c r="D17" i="7"/>
  <c r="P13" i="7"/>
  <c r="P12" i="7"/>
  <c r="P11" i="7"/>
  <c r="P10" i="7"/>
  <c r="C13" i="7"/>
  <c r="C12" i="7"/>
  <c r="C11" i="7"/>
  <c r="C10" i="7"/>
  <c r="P6" i="7"/>
  <c r="P5" i="7"/>
  <c r="P4" i="7"/>
  <c r="P3" i="7"/>
  <c r="C6" i="7"/>
  <c r="C5" i="7"/>
  <c r="C4" i="7"/>
  <c r="C3" i="7"/>
  <c r="H10" i="6"/>
  <c r="I10" i="6"/>
  <c r="J10" i="6"/>
  <c r="H11" i="6"/>
  <c r="I11" i="6"/>
  <c r="J11" i="6"/>
  <c r="H12" i="6"/>
  <c r="I12" i="6"/>
  <c r="J12" i="6"/>
  <c r="H13" i="6"/>
  <c r="I13" i="6"/>
  <c r="J13" i="6"/>
  <c r="H14" i="6"/>
  <c r="I14" i="6"/>
  <c r="J14" i="6"/>
  <c r="H15" i="6"/>
  <c r="I15" i="6"/>
  <c r="J15" i="6"/>
  <c r="H16" i="6"/>
  <c r="I16" i="6"/>
  <c r="J16" i="6"/>
  <c r="H17" i="6"/>
  <c r="I17" i="6"/>
  <c r="J17" i="6"/>
  <c r="H18" i="6"/>
  <c r="I18" i="6"/>
  <c r="J18" i="6"/>
  <c r="G18" i="6"/>
  <c r="G11" i="6"/>
  <c r="G12" i="6"/>
  <c r="G13" i="6"/>
  <c r="G14" i="6"/>
  <c r="G15" i="6"/>
  <c r="G16" i="6"/>
  <c r="G17" i="6"/>
  <c r="G10" i="6"/>
  <c r="H9" i="6"/>
  <c r="I9" i="6"/>
  <c r="J9" i="6"/>
  <c r="G9" i="6"/>
  <c r="C18" i="6" a="1"/>
  <c r="C18" i="6" s="1"/>
  <c r="C17" i="6" a="1"/>
  <c r="C17" i="6" s="1"/>
  <c r="C16" i="6" a="1"/>
  <c r="C16" i="6" s="1"/>
  <c r="C15" i="6" a="1"/>
  <c r="C15" i="6" s="1"/>
  <c r="C14" i="6" a="1"/>
  <c r="C14" i="6" s="1"/>
  <c r="C13" i="6" a="1"/>
  <c r="C13" i="6" s="1"/>
  <c r="C12" i="6" a="1"/>
  <c r="C12" i="6" s="1"/>
  <c r="C11" i="6" a="1"/>
  <c r="C11" i="6" s="1"/>
  <c r="C9" i="6" a="1"/>
  <c r="C9" i="6" s="1"/>
  <c r="C10" i="6" a="1"/>
  <c r="C10" i="6" s="1"/>
  <c r="B6" i="6"/>
  <c r="B5" i="6"/>
  <c r="B4" i="6"/>
  <c r="B3" i="6"/>
  <c r="T41" i="2"/>
  <c r="U41" i="2"/>
  <c r="V41" i="2"/>
  <c r="W41" i="2"/>
  <c r="X41" i="2"/>
  <c r="Y41" i="2"/>
  <c r="Z41" i="2"/>
  <c r="AA41" i="2"/>
  <c r="AB41" i="2"/>
  <c r="AC41" i="2"/>
  <c r="AD41" i="2"/>
  <c r="AE41" i="2"/>
  <c r="AF41" i="2"/>
  <c r="AG41" i="2"/>
  <c r="AH41" i="2"/>
  <c r="AI41" i="2"/>
  <c r="AJ41" i="2"/>
  <c r="AK41" i="2"/>
  <c r="AL41" i="2"/>
  <c r="AM41" i="2"/>
  <c r="AN41" i="2"/>
  <c r="AO41" i="2"/>
  <c r="AP41" i="2"/>
  <c r="AQ41" i="2"/>
  <c r="AR41" i="2"/>
  <c r="AS41" i="2"/>
  <c r="AT41" i="2"/>
  <c r="AU41" i="2"/>
  <c r="AV41" i="2"/>
  <c r="AW41" i="2"/>
  <c r="AX41" i="2"/>
  <c r="AY41" i="2"/>
  <c r="AZ41" i="2"/>
  <c r="BA41" i="2"/>
  <c r="BB41" i="2"/>
  <c r="BC41" i="2"/>
  <c r="BD41" i="2"/>
  <c r="BE41" i="2"/>
  <c r="BF41" i="2"/>
  <c r="BG41" i="2"/>
  <c r="BH41" i="2"/>
  <c r="BI41" i="2"/>
  <c r="BJ41" i="2"/>
  <c r="BK41" i="2"/>
  <c r="BL41" i="2"/>
  <c r="BM41" i="2"/>
  <c r="BN41" i="2"/>
  <c r="BO41" i="2"/>
  <c r="BP41" i="2"/>
  <c r="BQ41" i="2"/>
  <c r="BR41" i="2"/>
  <c r="BS41" i="2"/>
  <c r="BT41" i="2"/>
  <c r="BU41" i="2"/>
  <c r="BV41" i="2"/>
  <c r="BW41" i="2"/>
  <c r="BX41" i="2"/>
  <c r="BY41" i="2"/>
  <c r="BZ41" i="2"/>
  <c r="CA41" i="2"/>
  <c r="CB41" i="2"/>
  <c r="CC41" i="2"/>
  <c r="CD41" i="2"/>
  <c r="CE41" i="2"/>
  <c r="CF41" i="2"/>
  <c r="CG41" i="2"/>
  <c r="CH41" i="2"/>
  <c r="CI41" i="2"/>
  <c r="CJ41" i="2"/>
  <c r="CK41" i="2"/>
  <c r="CL41" i="2"/>
  <c r="CM41" i="2"/>
  <c r="CN41" i="2"/>
  <c r="CO41" i="2"/>
  <c r="CP41" i="2"/>
  <c r="CQ41" i="2"/>
  <c r="CR41" i="2"/>
  <c r="CS41" i="2"/>
  <c r="CT41" i="2"/>
  <c r="CU41" i="2"/>
  <c r="CV41" i="2"/>
  <c r="T42" i="2"/>
  <c r="U42" i="2"/>
  <c r="V42" i="2"/>
  <c r="W42" i="2"/>
  <c r="X42" i="2"/>
  <c r="Y42" i="2"/>
  <c r="Z42" i="2"/>
  <c r="AA42" i="2"/>
  <c r="AB42" i="2"/>
  <c r="AC42" i="2"/>
  <c r="AD42" i="2"/>
  <c r="AE42" i="2"/>
  <c r="AF42" i="2"/>
  <c r="AG42" i="2"/>
  <c r="AH42" i="2"/>
  <c r="AI42" i="2"/>
  <c r="AJ42" i="2"/>
  <c r="AK42" i="2"/>
  <c r="AL42" i="2"/>
  <c r="AM42" i="2"/>
  <c r="AN42" i="2"/>
  <c r="AO42" i="2"/>
  <c r="AP42" i="2"/>
  <c r="AQ42" i="2"/>
  <c r="AR42" i="2"/>
  <c r="AS42" i="2"/>
  <c r="AT42" i="2"/>
  <c r="AU42" i="2"/>
  <c r="AV42" i="2"/>
  <c r="AW42" i="2"/>
  <c r="AX42" i="2"/>
  <c r="AY42" i="2"/>
  <c r="AZ42" i="2"/>
  <c r="BA42" i="2"/>
  <c r="BB42" i="2"/>
  <c r="BC42" i="2"/>
  <c r="BD42" i="2"/>
  <c r="BE42" i="2"/>
  <c r="BF42" i="2"/>
  <c r="BG42" i="2"/>
  <c r="BH42" i="2"/>
  <c r="BI42" i="2"/>
  <c r="BJ42" i="2"/>
  <c r="BK42" i="2"/>
  <c r="BL42" i="2"/>
  <c r="BM42" i="2"/>
  <c r="BN42" i="2"/>
  <c r="BO42" i="2"/>
  <c r="BP42" i="2"/>
  <c r="BQ42" i="2"/>
  <c r="BR42" i="2"/>
  <c r="BS42" i="2"/>
  <c r="BT42" i="2"/>
  <c r="BU42" i="2"/>
  <c r="BV42" i="2"/>
  <c r="BW42" i="2"/>
  <c r="BX42" i="2"/>
  <c r="BY42" i="2"/>
  <c r="BZ42" i="2"/>
  <c r="CA42" i="2"/>
  <c r="CB42" i="2"/>
  <c r="CC42" i="2"/>
  <c r="CD42" i="2"/>
  <c r="CE42" i="2"/>
  <c r="CF42" i="2"/>
  <c r="CG42" i="2"/>
  <c r="CH42" i="2"/>
  <c r="CI42" i="2"/>
  <c r="CJ42" i="2"/>
  <c r="CK42" i="2"/>
  <c r="CL42" i="2"/>
  <c r="CM42" i="2"/>
  <c r="CN42" i="2"/>
  <c r="CO42" i="2"/>
  <c r="CP42" i="2"/>
  <c r="CQ42" i="2"/>
  <c r="CR42" i="2"/>
  <c r="CS42" i="2"/>
  <c r="CT42" i="2"/>
  <c r="CU42" i="2"/>
  <c r="CV42" i="2"/>
  <c r="T43" i="2"/>
  <c r="U43" i="2"/>
  <c r="V43" i="2"/>
  <c r="W43" i="2"/>
  <c r="X43" i="2"/>
  <c r="Y43" i="2"/>
  <c r="Z43" i="2"/>
  <c r="AA43" i="2"/>
  <c r="AB43" i="2"/>
  <c r="AC43" i="2"/>
  <c r="AD43" i="2"/>
  <c r="AE43" i="2"/>
  <c r="AF43" i="2"/>
  <c r="AG43" i="2"/>
  <c r="AH43" i="2"/>
  <c r="AI43" i="2"/>
  <c r="AJ43" i="2"/>
  <c r="AK43" i="2"/>
  <c r="AL43" i="2"/>
  <c r="AM43" i="2"/>
  <c r="AN43" i="2"/>
  <c r="AO43" i="2"/>
  <c r="AP43" i="2"/>
  <c r="AQ43" i="2"/>
  <c r="AR43" i="2"/>
  <c r="AS43" i="2"/>
  <c r="AT43" i="2"/>
  <c r="AU43" i="2"/>
  <c r="AV43" i="2"/>
  <c r="AW43" i="2"/>
  <c r="AX43" i="2"/>
  <c r="AY43" i="2"/>
  <c r="AZ43" i="2"/>
  <c r="BA43" i="2"/>
  <c r="BB43" i="2"/>
  <c r="BC43" i="2"/>
  <c r="BD43" i="2"/>
  <c r="BE43" i="2"/>
  <c r="BF43" i="2"/>
  <c r="BG43" i="2"/>
  <c r="BH43" i="2"/>
  <c r="BI43" i="2"/>
  <c r="BJ43" i="2"/>
  <c r="BK43" i="2"/>
  <c r="BL43" i="2"/>
  <c r="BM43" i="2"/>
  <c r="BN43" i="2"/>
  <c r="BO43" i="2"/>
  <c r="BP43" i="2"/>
  <c r="BQ43" i="2"/>
  <c r="BR43" i="2"/>
  <c r="BS43" i="2"/>
  <c r="BT43" i="2"/>
  <c r="BU43" i="2"/>
  <c r="BV43" i="2"/>
  <c r="BW43" i="2"/>
  <c r="BX43" i="2"/>
  <c r="BY43" i="2"/>
  <c r="BZ43" i="2"/>
  <c r="CA43" i="2"/>
  <c r="CB43" i="2"/>
  <c r="CC43" i="2"/>
  <c r="CD43" i="2"/>
  <c r="CE43" i="2"/>
  <c r="CF43" i="2"/>
  <c r="CG43" i="2"/>
  <c r="CH43" i="2"/>
  <c r="CI43" i="2"/>
  <c r="CJ43" i="2"/>
  <c r="CK43" i="2"/>
  <c r="CL43" i="2"/>
  <c r="CM43" i="2"/>
  <c r="CN43" i="2"/>
  <c r="CO43" i="2"/>
  <c r="CP43" i="2"/>
  <c r="CQ43" i="2"/>
  <c r="CR43" i="2"/>
  <c r="CS43" i="2"/>
  <c r="CT43" i="2"/>
  <c r="CU43" i="2"/>
  <c r="CV43" i="2"/>
  <c r="T44" i="2"/>
  <c r="U44" i="2"/>
  <c r="V44" i="2"/>
  <c r="W44" i="2"/>
  <c r="X44" i="2"/>
  <c r="Y44" i="2"/>
  <c r="Z44" i="2"/>
  <c r="AA44" i="2"/>
  <c r="AB44" i="2"/>
  <c r="AC44" i="2"/>
  <c r="AD44" i="2"/>
  <c r="AE44" i="2"/>
  <c r="AF44" i="2"/>
  <c r="AG44" i="2"/>
  <c r="AH44" i="2"/>
  <c r="AI44" i="2"/>
  <c r="AJ44" i="2"/>
  <c r="AK44" i="2"/>
  <c r="AL44" i="2"/>
  <c r="AM44" i="2"/>
  <c r="AN44" i="2"/>
  <c r="AO44" i="2"/>
  <c r="AP44" i="2"/>
  <c r="AQ44" i="2"/>
  <c r="AR44" i="2"/>
  <c r="AS44" i="2"/>
  <c r="AT44" i="2"/>
  <c r="AU44" i="2"/>
  <c r="AV44" i="2"/>
  <c r="AW44" i="2"/>
  <c r="AX44" i="2"/>
  <c r="AY44" i="2"/>
  <c r="AZ44" i="2"/>
  <c r="BA44" i="2"/>
  <c r="BB44" i="2"/>
  <c r="BC44" i="2"/>
  <c r="BD44" i="2"/>
  <c r="BE44" i="2"/>
  <c r="BF44" i="2"/>
  <c r="BG44" i="2"/>
  <c r="BH44" i="2"/>
  <c r="BI44" i="2"/>
  <c r="BJ44" i="2"/>
  <c r="BK44" i="2"/>
  <c r="BL44" i="2"/>
  <c r="BM44" i="2"/>
  <c r="BN44" i="2"/>
  <c r="BO44" i="2"/>
  <c r="BP44" i="2"/>
  <c r="BQ44" i="2"/>
  <c r="BR44" i="2"/>
  <c r="BS44" i="2"/>
  <c r="BT44" i="2"/>
  <c r="BU44" i="2"/>
  <c r="BV44" i="2"/>
  <c r="BW44" i="2"/>
  <c r="BX44" i="2"/>
  <c r="BY44" i="2"/>
  <c r="BZ44" i="2"/>
  <c r="CA44" i="2"/>
  <c r="CB44" i="2"/>
  <c r="CC44" i="2"/>
  <c r="CD44" i="2"/>
  <c r="CE44" i="2"/>
  <c r="CF44" i="2"/>
  <c r="CG44" i="2"/>
  <c r="CH44" i="2"/>
  <c r="CI44" i="2"/>
  <c r="CJ44" i="2"/>
  <c r="CK44" i="2"/>
  <c r="CL44" i="2"/>
  <c r="CM44" i="2"/>
  <c r="CN44" i="2"/>
  <c r="CO44" i="2"/>
  <c r="CP44" i="2"/>
  <c r="CQ44" i="2"/>
  <c r="CR44" i="2"/>
  <c r="CS44" i="2"/>
  <c r="CT44" i="2"/>
  <c r="CU44" i="2"/>
  <c r="CV44" i="2"/>
  <c r="T45" i="2"/>
  <c r="U45" i="2"/>
  <c r="V45" i="2"/>
  <c r="W45" i="2"/>
  <c r="X45" i="2"/>
  <c r="Y45" i="2"/>
  <c r="Z45" i="2"/>
  <c r="AA45" i="2"/>
  <c r="AB45" i="2"/>
  <c r="AC45" i="2"/>
  <c r="AD45" i="2"/>
  <c r="AE45" i="2"/>
  <c r="AF45" i="2"/>
  <c r="AG45" i="2"/>
  <c r="AH45" i="2"/>
  <c r="AI45" i="2"/>
  <c r="AJ45" i="2"/>
  <c r="AK45" i="2"/>
  <c r="AL45" i="2"/>
  <c r="AM45" i="2"/>
  <c r="AN45" i="2"/>
  <c r="AO45" i="2"/>
  <c r="AP45" i="2"/>
  <c r="AQ45" i="2"/>
  <c r="AR45" i="2"/>
  <c r="AS45" i="2"/>
  <c r="AT45" i="2"/>
  <c r="AU45" i="2"/>
  <c r="AV45" i="2"/>
  <c r="AW45" i="2"/>
  <c r="AX45" i="2"/>
  <c r="AY45" i="2"/>
  <c r="AZ45" i="2"/>
  <c r="BA45" i="2"/>
  <c r="BB45" i="2"/>
  <c r="BC45" i="2"/>
  <c r="BD45" i="2"/>
  <c r="BE45" i="2"/>
  <c r="BF45" i="2"/>
  <c r="BG45" i="2"/>
  <c r="BH45" i="2"/>
  <c r="BI45" i="2"/>
  <c r="BJ45" i="2"/>
  <c r="BK45" i="2"/>
  <c r="BL45" i="2"/>
  <c r="BM45" i="2"/>
  <c r="BN45" i="2"/>
  <c r="BO45" i="2"/>
  <c r="BP45" i="2"/>
  <c r="BQ45" i="2"/>
  <c r="BR45" i="2"/>
  <c r="BS45" i="2"/>
  <c r="BT45" i="2"/>
  <c r="BU45" i="2"/>
  <c r="BV45" i="2"/>
  <c r="BW45" i="2"/>
  <c r="BX45" i="2"/>
  <c r="BY45" i="2"/>
  <c r="BZ45" i="2"/>
  <c r="CA45" i="2"/>
  <c r="CB45" i="2"/>
  <c r="CC45" i="2"/>
  <c r="CD45" i="2"/>
  <c r="CE45" i="2"/>
  <c r="CF45" i="2"/>
  <c r="CG45" i="2"/>
  <c r="CH45" i="2"/>
  <c r="CI45" i="2"/>
  <c r="CJ45" i="2"/>
  <c r="CK45" i="2"/>
  <c r="CL45" i="2"/>
  <c r="CM45" i="2"/>
  <c r="CN45" i="2"/>
  <c r="CO45" i="2"/>
  <c r="CP45" i="2"/>
  <c r="CQ45" i="2"/>
  <c r="CR45" i="2"/>
  <c r="CS45" i="2"/>
  <c r="CT45" i="2"/>
  <c r="CU45" i="2"/>
  <c r="CV45" i="2"/>
  <c r="T46" i="2"/>
  <c r="U46" i="2"/>
  <c r="V46" i="2"/>
  <c r="W46" i="2"/>
  <c r="X46" i="2"/>
  <c r="Y46" i="2"/>
  <c r="Z46" i="2"/>
  <c r="AA46" i="2"/>
  <c r="AB46" i="2"/>
  <c r="AC46" i="2"/>
  <c r="AD46" i="2"/>
  <c r="AE46" i="2"/>
  <c r="AF46" i="2"/>
  <c r="AG46" i="2"/>
  <c r="AH46" i="2"/>
  <c r="AI46" i="2"/>
  <c r="AJ46" i="2"/>
  <c r="AK46" i="2"/>
  <c r="AL46" i="2"/>
  <c r="AM46" i="2"/>
  <c r="AN46" i="2"/>
  <c r="AO46" i="2"/>
  <c r="AP46" i="2"/>
  <c r="AQ46" i="2"/>
  <c r="AR46" i="2"/>
  <c r="AS46" i="2"/>
  <c r="AT46" i="2"/>
  <c r="AU46" i="2"/>
  <c r="AV46" i="2"/>
  <c r="AW46" i="2"/>
  <c r="AX46" i="2"/>
  <c r="AY46" i="2"/>
  <c r="AZ46" i="2"/>
  <c r="BA46" i="2"/>
  <c r="BB46" i="2"/>
  <c r="BC46" i="2"/>
  <c r="BD46" i="2"/>
  <c r="BE46" i="2"/>
  <c r="BF46" i="2"/>
  <c r="BG46" i="2"/>
  <c r="BH46" i="2"/>
  <c r="BI46" i="2"/>
  <c r="BJ46" i="2"/>
  <c r="BK46" i="2"/>
  <c r="BL46" i="2"/>
  <c r="BM46" i="2"/>
  <c r="BN46" i="2"/>
  <c r="BO46" i="2"/>
  <c r="BP46" i="2"/>
  <c r="BQ46" i="2"/>
  <c r="BR46" i="2"/>
  <c r="BS46" i="2"/>
  <c r="BT46" i="2"/>
  <c r="BU46" i="2"/>
  <c r="BV46" i="2"/>
  <c r="BW46" i="2"/>
  <c r="BX46" i="2"/>
  <c r="BY46" i="2"/>
  <c r="BZ46" i="2"/>
  <c r="CA46" i="2"/>
  <c r="CB46" i="2"/>
  <c r="CC46" i="2"/>
  <c r="CD46" i="2"/>
  <c r="CE46" i="2"/>
  <c r="CF46" i="2"/>
  <c r="CG46" i="2"/>
  <c r="CH46" i="2"/>
  <c r="CI46" i="2"/>
  <c r="CJ46" i="2"/>
  <c r="CK46" i="2"/>
  <c r="CL46" i="2"/>
  <c r="CM46" i="2"/>
  <c r="CN46" i="2"/>
  <c r="CO46" i="2"/>
  <c r="CP46" i="2"/>
  <c r="CQ46" i="2"/>
  <c r="CR46" i="2"/>
  <c r="CS46" i="2"/>
  <c r="CT46" i="2"/>
  <c r="CU46" i="2"/>
  <c r="CV46" i="2"/>
  <c r="T47" i="2"/>
  <c r="U47" i="2"/>
  <c r="V47" i="2"/>
  <c r="W47" i="2"/>
  <c r="X47" i="2"/>
  <c r="Y47" i="2"/>
  <c r="Z47" i="2"/>
  <c r="AA47" i="2"/>
  <c r="AB47" i="2"/>
  <c r="AC47" i="2"/>
  <c r="AD47" i="2"/>
  <c r="AE47" i="2"/>
  <c r="AF47" i="2"/>
  <c r="AG47" i="2"/>
  <c r="AH47" i="2"/>
  <c r="AI47" i="2"/>
  <c r="AJ47" i="2"/>
  <c r="AK47" i="2"/>
  <c r="AL47" i="2"/>
  <c r="AM47" i="2"/>
  <c r="AN47" i="2"/>
  <c r="AO47" i="2"/>
  <c r="AP47" i="2"/>
  <c r="AQ47" i="2"/>
  <c r="AR47" i="2"/>
  <c r="AS47" i="2"/>
  <c r="AT47" i="2"/>
  <c r="AU47" i="2"/>
  <c r="AV47" i="2"/>
  <c r="AW47" i="2"/>
  <c r="AX47" i="2"/>
  <c r="AY47" i="2"/>
  <c r="AZ47" i="2"/>
  <c r="BA47" i="2"/>
  <c r="BB47" i="2"/>
  <c r="BC47" i="2"/>
  <c r="BD47" i="2"/>
  <c r="BE47" i="2"/>
  <c r="BF47" i="2"/>
  <c r="BG47" i="2"/>
  <c r="BH47" i="2"/>
  <c r="BI47" i="2"/>
  <c r="BJ47" i="2"/>
  <c r="BK47" i="2"/>
  <c r="BL47" i="2"/>
  <c r="BM47" i="2"/>
  <c r="BN47" i="2"/>
  <c r="BO47" i="2"/>
  <c r="BP47" i="2"/>
  <c r="BQ47" i="2"/>
  <c r="BR47" i="2"/>
  <c r="BS47" i="2"/>
  <c r="BT47" i="2"/>
  <c r="BU47" i="2"/>
  <c r="BV47" i="2"/>
  <c r="BW47" i="2"/>
  <c r="BX47" i="2"/>
  <c r="BY47" i="2"/>
  <c r="BZ47" i="2"/>
  <c r="CA47" i="2"/>
  <c r="CB47" i="2"/>
  <c r="CC47" i="2"/>
  <c r="CD47" i="2"/>
  <c r="CE47" i="2"/>
  <c r="CF47" i="2"/>
  <c r="CG47" i="2"/>
  <c r="CH47" i="2"/>
  <c r="CI47" i="2"/>
  <c r="CJ47" i="2"/>
  <c r="CK47" i="2"/>
  <c r="CL47" i="2"/>
  <c r="CM47" i="2"/>
  <c r="CN47" i="2"/>
  <c r="CO47" i="2"/>
  <c r="CP47" i="2"/>
  <c r="CQ47" i="2"/>
  <c r="CR47" i="2"/>
  <c r="CS47" i="2"/>
  <c r="CT47" i="2"/>
  <c r="CU47" i="2"/>
  <c r="CV47" i="2"/>
  <c r="T48" i="2"/>
  <c r="U48" i="2"/>
  <c r="V48" i="2"/>
  <c r="W48" i="2"/>
  <c r="X48" i="2"/>
  <c r="Y48" i="2"/>
  <c r="Z48" i="2"/>
  <c r="AA48" i="2"/>
  <c r="AB48" i="2"/>
  <c r="AC48" i="2"/>
  <c r="AD48" i="2"/>
  <c r="AE48" i="2"/>
  <c r="AF48" i="2"/>
  <c r="AG48" i="2"/>
  <c r="AH48" i="2"/>
  <c r="AI48" i="2"/>
  <c r="AJ48" i="2"/>
  <c r="AK48" i="2"/>
  <c r="AL48" i="2"/>
  <c r="AM48" i="2"/>
  <c r="AN48" i="2"/>
  <c r="AO48" i="2"/>
  <c r="AP48" i="2"/>
  <c r="AQ48" i="2"/>
  <c r="AR48" i="2"/>
  <c r="AS48" i="2"/>
  <c r="AT48" i="2"/>
  <c r="AU48" i="2"/>
  <c r="AV48" i="2"/>
  <c r="AW48" i="2"/>
  <c r="AX48" i="2"/>
  <c r="AY48" i="2"/>
  <c r="AZ48" i="2"/>
  <c r="BA48" i="2"/>
  <c r="BB48" i="2"/>
  <c r="BC48" i="2"/>
  <c r="BD48" i="2"/>
  <c r="BE48" i="2"/>
  <c r="BF48" i="2"/>
  <c r="BG48" i="2"/>
  <c r="BH48" i="2"/>
  <c r="BI48" i="2"/>
  <c r="BJ48" i="2"/>
  <c r="BK48" i="2"/>
  <c r="BL48" i="2"/>
  <c r="BM48" i="2"/>
  <c r="BN48" i="2"/>
  <c r="BO48" i="2"/>
  <c r="BP48" i="2"/>
  <c r="BQ48" i="2"/>
  <c r="BR48" i="2"/>
  <c r="BS48" i="2"/>
  <c r="BT48" i="2"/>
  <c r="BU48" i="2"/>
  <c r="BV48" i="2"/>
  <c r="BW48" i="2"/>
  <c r="BX48" i="2"/>
  <c r="BY48" i="2"/>
  <c r="BZ48" i="2"/>
  <c r="CA48" i="2"/>
  <c r="CB48" i="2"/>
  <c r="CC48" i="2"/>
  <c r="CD48" i="2"/>
  <c r="CE48" i="2"/>
  <c r="CF48" i="2"/>
  <c r="CG48" i="2"/>
  <c r="CH48" i="2"/>
  <c r="CI48" i="2"/>
  <c r="CJ48" i="2"/>
  <c r="CK48" i="2"/>
  <c r="CL48" i="2"/>
  <c r="CM48" i="2"/>
  <c r="CN48" i="2"/>
  <c r="CO48" i="2"/>
  <c r="CP48" i="2"/>
  <c r="CQ48" i="2"/>
  <c r="CR48" i="2"/>
  <c r="CS48" i="2"/>
  <c r="CT48" i="2"/>
  <c r="CU48" i="2"/>
  <c r="CV48" i="2"/>
  <c r="T49" i="2"/>
  <c r="U49" i="2"/>
  <c r="V49" i="2"/>
  <c r="W49" i="2"/>
  <c r="X49" i="2"/>
  <c r="Y49" i="2"/>
  <c r="Z49" i="2"/>
  <c r="AA49" i="2"/>
  <c r="AB49" i="2"/>
  <c r="AC49" i="2"/>
  <c r="AD49" i="2"/>
  <c r="AE49" i="2"/>
  <c r="AF49" i="2"/>
  <c r="AG49" i="2"/>
  <c r="AH49" i="2"/>
  <c r="AI49" i="2"/>
  <c r="AJ49" i="2"/>
  <c r="AK49" i="2"/>
  <c r="AL49" i="2"/>
  <c r="AM49" i="2"/>
  <c r="AN49" i="2"/>
  <c r="AO49" i="2"/>
  <c r="AP49" i="2"/>
  <c r="AQ49" i="2"/>
  <c r="AR49" i="2"/>
  <c r="AS49" i="2"/>
  <c r="AT49" i="2"/>
  <c r="AU49" i="2"/>
  <c r="AV49" i="2"/>
  <c r="AW49" i="2"/>
  <c r="AX49" i="2"/>
  <c r="AY49" i="2"/>
  <c r="AZ49" i="2"/>
  <c r="BA49" i="2"/>
  <c r="BB49" i="2"/>
  <c r="BC49" i="2"/>
  <c r="BD49" i="2"/>
  <c r="BE49" i="2"/>
  <c r="BF49" i="2"/>
  <c r="BG49" i="2"/>
  <c r="BH49" i="2"/>
  <c r="BI49" i="2"/>
  <c r="BJ49" i="2"/>
  <c r="BK49" i="2"/>
  <c r="BL49" i="2"/>
  <c r="BM49" i="2"/>
  <c r="BN49" i="2"/>
  <c r="BO49" i="2"/>
  <c r="BP49" i="2"/>
  <c r="BQ49" i="2"/>
  <c r="BR49" i="2"/>
  <c r="BS49" i="2"/>
  <c r="BT49" i="2"/>
  <c r="BU49" i="2"/>
  <c r="BV49" i="2"/>
  <c r="BW49" i="2"/>
  <c r="BX49" i="2"/>
  <c r="BY49" i="2"/>
  <c r="BZ49" i="2"/>
  <c r="CA49" i="2"/>
  <c r="CB49" i="2"/>
  <c r="CC49" i="2"/>
  <c r="CD49" i="2"/>
  <c r="CE49" i="2"/>
  <c r="CF49" i="2"/>
  <c r="CG49" i="2"/>
  <c r="CH49" i="2"/>
  <c r="CI49" i="2"/>
  <c r="CJ49" i="2"/>
  <c r="CK49" i="2"/>
  <c r="CL49" i="2"/>
  <c r="CM49" i="2"/>
  <c r="CN49" i="2"/>
  <c r="CO49" i="2"/>
  <c r="CP49" i="2"/>
  <c r="CQ49" i="2"/>
  <c r="CR49" i="2"/>
  <c r="CS49" i="2"/>
  <c r="CT49" i="2"/>
  <c r="CU49" i="2"/>
  <c r="CV49" i="2"/>
  <c r="T50" i="2"/>
  <c r="U50" i="2"/>
  <c r="V50" i="2"/>
  <c r="W50" i="2"/>
  <c r="X50" i="2"/>
  <c r="Y50" i="2"/>
  <c r="Z50" i="2"/>
  <c r="AA50" i="2"/>
  <c r="AB50" i="2"/>
  <c r="AC50" i="2"/>
  <c r="AD50" i="2"/>
  <c r="AE50" i="2"/>
  <c r="AF50" i="2"/>
  <c r="AG50" i="2"/>
  <c r="AH50" i="2"/>
  <c r="AI50" i="2"/>
  <c r="AJ50" i="2"/>
  <c r="AK50" i="2"/>
  <c r="AL50" i="2"/>
  <c r="AM50" i="2"/>
  <c r="AN50" i="2"/>
  <c r="AO50" i="2"/>
  <c r="AP50" i="2"/>
  <c r="AQ50" i="2"/>
  <c r="AR50" i="2"/>
  <c r="AS50" i="2"/>
  <c r="AT50" i="2"/>
  <c r="AU50" i="2"/>
  <c r="AV50" i="2"/>
  <c r="AW50" i="2"/>
  <c r="AX50" i="2"/>
  <c r="AY50" i="2"/>
  <c r="AZ50" i="2"/>
  <c r="BA50" i="2"/>
  <c r="BB50" i="2"/>
  <c r="BC50" i="2"/>
  <c r="BD50" i="2"/>
  <c r="BE50" i="2"/>
  <c r="BF50" i="2"/>
  <c r="BG50" i="2"/>
  <c r="BH50" i="2"/>
  <c r="BI50" i="2"/>
  <c r="BJ50" i="2"/>
  <c r="BK50" i="2"/>
  <c r="BL50" i="2"/>
  <c r="BM50" i="2"/>
  <c r="BN50" i="2"/>
  <c r="BO50" i="2"/>
  <c r="BP50" i="2"/>
  <c r="BQ50" i="2"/>
  <c r="BR50" i="2"/>
  <c r="BS50" i="2"/>
  <c r="BT50" i="2"/>
  <c r="BU50" i="2"/>
  <c r="BV50" i="2"/>
  <c r="BW50" i="2"/>
  <c r="BX50" i="2"/>
  <c r="BY50" i="2"/>
  <c r="BZ50" i="2"/>
  <c r="CA50" i="2"/>
  <c r="CB50" i="2"/>
  <c r="CC50" i="2"/>
  <c r="CD50" i="2"/>
  <c r="CE50" i="2"/>
  <c r="CF50" i="2"/>
  <c r="CG50" i="2"/>
  <c r="CH50" i="2"/>
  <c r="CI50" i="2"/>
  <c r="CJ50" i="2"/>
  <c r="CK50" i="2"/>
  <c r="CL50" i="2"/>
  <c r="CM50" i="2"/>
  <c r="CN50" i="2"/>
  <c r="CO50" i="2"/>
  <c r="CP50" i="2"/>
  <c r="CQ50" i="2"/>
  <c r="CR50" i="2"/>
  <c r="CS50" i="2"/>
  <c r="CT50" i="2"/>
  <c r="CU50" i="2"/>
  <c r="CV50" i="2"/>
  <c r="T51" i="2"/>
  <c r="U51" i="2"/>
  <c r="V51" i="2"/>
  <c r="W51" i="2"/>
  <c r="X51" i="2"/>
  <c r="Y51" i="2"/>
  <c r="Z51" i="2"/>
  <c r="AA51" i="2"/>
  <c r="AB51" i="2"/>
  <c r="AC51" i="2"/>
  <c r="AD51" i="2"/>
  <c r="AE51" i="2"/>
  <c r="AF51" i="2"/>
  <c r="AG51" i="2"/>
  <c r="AH51" i="2"/>
  <c r="AI51" i="2"/>
  <c r="AJ51" i="2"/>
  <c r="AK51" i="2"/>
  <c r="AL51" i="2"/>
  <c r="AM51" i="2"/>
  <c r="AN51" i="2"/>
  <c r="AO51" i="2"/>
  <c r="AP51" i="2"/>
  <c r="AQ51" i="2"/>
  <c r="AR51" i="2"/>
  <c r="AS51" i="2"/>
  <c r="AT51" i="2"/>
  <c r="AU51" i="2"/>
  <c r="AV51" i="2"/>
  <c r="AW51" i="2"/>
  <c r="AX51" i="2"/>
  <c r="AY51" i="2"/>
  <c r="AZ51" i="2"/>
  <c r="BA51" i="2"/>
  <c r="BB51" i="2"/>
  <c r="BC51" i="2"/>
  <c r="BD51" i="2"/>
  <c r="BE51" i="2"/>
  <c r="BF51" i="2"/>
  <c r="BG51" i="2"/>
  <c r="BH51" i="2"/>
  <c r="BI51" i="2"/>
  <c r="BJ51" i="2"/>
  <c r="BK51" i="2"/>
  <c r="BL51" i="2"/>
  <c r="BM51" i="2"/>
  <c r="BN51" i="2"/>
  <c r="BO51" i="2"/>
  <c r="BP51" i="2"/>
  <c r="BQ51" i="2"/>
  <c r="BR51" i="2"/>
  <c r="BS51" i="2"/>
  <c r="BT51" i="2"/>
  <c r="BU51" i="2"/>
  <c r="BV51" i="2"/>
  <c r="BW51" i="2"/>
  <c r="BX51" i="2"/>
  <c r="BY51" i="2"/>
  <c r="BZ51" i="2"/>
  <c r="CA51" i="2"/>
  <c r="CB51" i="2"/>
  <c r="CC51" i="2"/>
  <c r="CD51" i="2"/>
  <c r="CE51" i="2"/>
  <c r="CF51" i="2"/>
  <c r="CG51" i="2"/>
  <c r="CH51" i="2"/>
  <c r="CI51" i="2"/>
  <c r="CJ51" i="2"/>
  <c r="CK51" i="2"/>
  <c r="CL51" i="2"/>
  <c r="CM51" i="2"/>
  <c r="CN51" i="2"/>
  <c r="CO51" i="2"/>
  <c r="CP51" i="2"/>
  <c r="CQ51" i="2"/>
  <c r="CR51" i="2"/>
  <c r="CS51" i="2"/>
  <c r="CT51" i="2"/>
  <c r="CU51" i="2"/>
  <c r="CV51" i="2"/>
  <c r="T52" i="2"/>
  <c r="U52" i="2"/>
  <c r="V52" i="2"/>
  <c r="W52" i="2"/>
  <c r="X52" i="2"/>
  <c r="Y52" i="2"/>
  <c r="Z52" i="2"/>
  <c r="AA52" i="2"/>
  <c r="AB52" i="2"/>
  <c r="AC52" i="2"/>
  <c r="AD52" i="2"/>
  <c r="AE52" i="2"/>
  <c r="AF52" i="2"/>
  <c r="AG52" i="2"/>
  <c r="AH52" i="2"/>
  <c r="AI52" i="2"/>
  <c r="AJ52" i="2"/>
  <c r="AK52" i="2"/>
  <c r="AL52" i="2"/>
  <c r="AM52" i="2"/>
  <c r="AN52" i="2"/>
  <c r="AO52" i="2"/>
  <c r="AP52" i="2"/>
  <c r="AQ52" i="2"/>
  <c r="AR52" i="2"/>
  <c r="AS52" i="2"/>
  <c r="AT52" i="2"/>
  <c r="AU52" i="2"/>
  <c r="AV52" i="2"/>
  <c r="AW52" i="2"/>
  <c r="AX52" i="2"/>
  <c r="AY52" i="2"/>
  <c r="AZ52" i="2"/>
  <c r="BA52" i="2"/>
  <c r="BB52" i="2"/>
  <c r="BC52" i="2"/>
  <c r="BD52" i="2"/>
  <c r="BE52" i="2"/>
  <c r="BF52" i="2"/>
  <c r="BG52" i="2"/>
  <c r="BH52" i="2"/>
  <c r="BI52" i="2"/>
  <c r="BJ52" i="2"/>
  <c r="BK52" i="2"/>
  <c r="BL52" i="2"/>
  <c r="BM52" i="2"/>
  <c r="BN52" i="2"/>
  <c r="BO52" i="2"/>
  <c r="BP52" i="2"/>
  <c r="BQ52" i="2"/>
  <c r="BR52" i="2"/>
  <c r="BS52" i="2"/>
  <c r="BT52" i="2"/>
  <c r="BU52" i="2"/>
  <c r="BV52" i="2"/>
  <c r="BW52" i="2"/>
  <c r="BX52" i="2"/>
  <c r="BY52" i="2"/>
  <c r="BZ52" i="2"/>
  <c r="CA52" i="2"/>
  <c r="CB52" i="2"/>
  <c r="CC52" i="2"/>
  <c r="CD52" i="2"/>
  <c r="CE52" i="2"/>
  <c r="CF52" i="2"/>
  <c r="CG52" i="2"/>
  <c r="CH52" i="2"/>
  <c r="CI52" i="2"/>
  <c r="CJ52" i="2"/>
  <c r="CK52" i="2"/>
  <c r="CL52" i="2"/>
  <c r="CM52" i="2"/>
  <c r="CN52" i="2"/>
  <c r="CO52" i="2"/>
  <c r="CP52" i="2"/>
  <c r="CQ52" i="2"/>
  <c r="CR52" i="2"/>
  <c r="CS52" i="2"/>
  <c r="CT52" i="2"/>
  <c r="CU52" i="2"/>
  <c r="CV52" i="2"/>
  <c r="T53" i="2"/>
  <c r="U53" i="2"/>
  <c r="V53" i="2"/>
  <c r="W53" i="2"/>
  <c r="X53" i="2"/>
  <c r="Y53" i="2"/>
  <c r="Z53" i="2"/>
  <c r="AA53" i="2"/>
  <c r="AB53" i="2"/>
  <c r="AC53" i="2"/>
  <c r="AD53" i="2"/>
  <c r="AE53" i="2"/>
  <c r="AF53" i="2"/>
  <c r="AG53" i="2"/>
  <c r="AH53" i="2"/>
  <c r="AI53" i="2"/>
  <c r="AJ53" i="2"/>
  <c r="AK53" i="2"/>
  <c r="AL53" i="2"/>
  <c r="AM53" i="2"/>
  <c r="AN53" i="2"/>
  <c r="AO53" i="2"/>
  <c r="AP53" i="2"/>
  <c r="AQ53" i="2"/>
  <c r="AR53" i="2"/>
  <c r="AS53" i="2"/>
  <c r="AT53" i="2"/>
  <c r="AU53" i="2"/>
  <c r="AV53" i="2"/>
  <c r="AW53" i="2"/>
  <c r="AX53" i="2"/>
  <c r="AY53" i="2"/>
  <c r="AZ53" i="2"/>
  <c r="BA53" i="2"/>
  <c r="BB53" i="2"/>
  <c r="BC53" i="2"/>
  <c r="BD53" i="2"/>
  <c r="BE53" i="2"/>
  <c r="BF53" i="2"/>
  <c r="BG53" i="2"/>
  <c r="BH53" i="2"/>
  <c r="BI53" i="2"/>
  <c r="BJ53" i="2"/>
  <c r="BK53" i="2"/>
  <c r="BL53" i="2"/>
  <c r="BM53" i="2"/>
  <c r="BN53" i="2"/>
  <c r="BO53" i="2"/>
  <c r="BP53" i="2"/>
  <c r="BQ53" i="2"/>
  <c r="BR53" i="2"/>
  <c r="BS53" i="2"/>
  <c r="BT53" i="2"/>
  <c r="BU53" i="2"/>
  <c r="BV53" i="2"/>
  <c r="BW53" i="2"/>
  <c r="BX53" i="2"/>
  <c r="BY53" i="2"/>
  <c r="BZ53" i="2"/>
  <c r="CA53" i="2"/>
  <c r="CB53" i="2"/>
  <c r="CC53" i="2"/>
  <c r="CD53" i="2"/>
  <c r="CE53" i="2"/>
  <c r="CF53" i="2"/>
  <c r="CG53" i="2"/>
  <c r="CH53" i="2"/>
  <c r="CI53" i="2"/>
  <c r="CJ53" i="2"/>
  <c r="CK53" i="2"/>
  <c r="CL53" i="2"/>
  <c r="CM53" i="2"/>
  <c r="CN53" i="2"/>
  <c r="CO53" i="2"/>
  <c r="CP53" i="2"/>
  <c r="CQ53" i="2"/>
  <c r="CR53" i="2"/>
  <c r="CS53" i="2"/>
  <c r="CT53" i="2"/>
  <c r="CU53" i="2"/>
  <c r="CV53" i="2"/>
  <c r="T54" i="2"/>
  <c r="U54" i="2"/>
  <c r="V54" i="2"/>
  <c r="W54" i="2"/>
  <c r="X54" i="2"/>
  <c r="Y54" i="2"/>
  <c r="Z54" i="2"/>
  <c r="AA54" i="2"/>
  <c r="AB54" i="2"/>
  <c r="AC54" i="2"/>
  <c r="AD54" i="2"/>
  <c r="AE54" i="2"/>
  <c r="AF54" i="2"/>
  <c r="AG54" i="2"/>
  <c r="AH54" i="2"/>
  <c r="AI54" i="2"/>
  <c r="AJ54" i="2"/>
  <c r="AK54" i="2"/>
  <c r="AL54" i="2"/>
  <c r="AM54" i="2"/>
  <c r="AN54" i="2"/>
  <c r="AO54" i="2"/>
  <c r="AP54" i="2"/>
  <c r="AQ54" i="2"/>
  <c r="AR54" i="2"/>
  <c r="AS54" i="2"/>
  <c r="AT54" i="2"/>
  <c r="AU54" i="2"/>
  <c r="AV54" i="2"/>
  <c r="AW54" i="2"/>
  <c r="AX54" i="2"/>
  <c r="AY54" i="2"/>
  <c r="AZ54" i="2"/>
  <c r="BA54" i="2"/>
  <c r="BB54" i="2"/>
  <c r="BC54" i="2"/>
  <c r="BD54" i="2"/>
  <c r="BE54" i="2"/>
  <c r="BF54" i="2"/>
  <c r="BG54" i="2"/>
  <c r="BH54" i="2"/>
  <c r="BI54" i="2"/>
  <c r="BJ54" i="2"/>
  <c r="BK54" i="2"/>
  <c r="BL54" i="2"/>
  <c r="BM54" i="2"/>
  <c r="BN54" i="2"/>
  <c r="BO54" i="2"/>
  <c r="BP54" i="2"/>
  <c r="BQ54" i="2"/>
  <c r="BR54" i="2"/>
  <c r="BS54" i="2"/>
  <c r="BT54" i="2"/>
  <c r="BU54" i="2"/>
  <c r="BV54" i="2"/>
  <c r="BW54" i="2"/>
  <c r="BX54" i="2"/>
  <c r="BY54" i="2"/>
  <c r="BZ54" i="2"/>
  <c r="CA54" i="2"/>
  <c r="CB54" i="2"/>
  <c r="CC54" i="2"/>
  <c r="CD54" i="2"/>
  <c r="CE54" i="2"/>
  <c r="CF54" i="2"/>
  <c r="CG54" i="2"/>
  <c r="CH54" i="2"/>
  <c r="CI54" i="2"/>
  <c r="CJ54" i="2"/>
  <c r="CK54" i="2"/>
  <c r="CL54" i="2"/>
  <c r="CM54" i="2"/>
  <c r="CN54" i="2"/>
  <c r="CO54" i="2"/>
  <c r="CP54" i="2"/>
  <c r="CQ54" i="2"/>
  <c r="CR54" i="2"/>
  <c r="CS54" i="2"/>
  <c r="CT54" i="2"/>
  <c r="CU54" i="2"/>
  <c r="CV54" i="2"/>
  <c r="T55" i="2"/>
  <c r="U55" i="2"/>
  <c r="V55" i="2"/>
  <c r="W55" i="2"/>
  <c r="X55" i="2"/>
  <c r="Y55" i="2"/>
  <c r="Z55" i="2"/>
  <c r="AA55" i="2"/>
  <c r="AB55" i="2"/>
  <c r="AC55" i="2"/>
  <c r="AD55" i="2"/>
  <c r="AE55" i="2"/>
  <c r="AF55" i="2"/>
  <c r="AG55" i="2"/>
  <c r="AH55" i="2"/>
  <c r="AI55" i="2"/>
  <c r="AJ55" i="2"/>
  <c r="AK55" i="2"/>
  <c r="AL55" i="2"/>
  <c r="AM55" i="2"/>
  <c r="AN55" i="2"/>
  <c r="AO55" i="2"/>
  <c r="AP55" i="2"/>
  <c r="AQ55" i="2"/>
  <c r="AR55" i="2"/>
  <c r="AS55" i="2"/>
  <c r="AT55" i="2"/>
  <c r="AU55" i="2"/>
  <c r="AV55" i="2"/>
  <c r="AW55" i="2"/>
  <c r="AX55" i="2"/>
  <c r="AY55" i="2"/>
  <c r="AZ55" i="2"/>
  <c r="BA55" i="2"/>
  <c r="BB55" i="2"/>
  <c r="BC55" i="2"/>
  <c r="BD55" i="2"/>
  <c r="BE55" i="2"/>
  <c r="BF55" i="2"/>
  <c r="BG55" i="2"/>
  <c r="BH55" i="2"/>
  <c r="BI55" i="2"/>
  <c r="BJ55" i="2"/>
  <c r="BK55" i="2"/>
  <c r="BL55" i="2"/>
  <c r="BM55" i="2"/>
  <c r="BN55" i="2"/>
  <c r="BO55" i="2"/>
  <c r="BP55" i="2"/>
  <c r="BQ55" i="2"/>
  <c r="BR55" i="2"/>
  <c r="BS55" i="2"/>
  <c r="BT55" i="2"/>
  <c r="BU55" i="2"/>
  <c r="BV55" i="2"/>
  <c r="BW55" i="2"/>
  <c r="BX55" i="2"/>
  <c r="BY55" i="2"/>
  <c r="BZ55" i="2"/>
  <c r="CA55" i="2"/>
  <c r="CB55" i="2"/>
  <c r="CC55" i="2"/>
  <c r="CD55" i="2"/>
  <c r="CE55" i="2"/>
  <c r="CF55" i="2"/>
  <c r="CG55" i="2"/>
  <c r="CH55" i="2"/>
  <c r="CI55" i="2"/>
  <c r="CJ55" i="2"/>
  <c r="CK55" i="2"/>
  <c r="CL55" i="2"/>
  <c r="CM55" i="2"/>
  <c r="CN55" i="2"/>
  <c r="CO55" i="2"/>
  <c r="CP55" i="2"/>
  <c r="CQ55" i="2"/>
  <c r="CR55" i="2"/>
  <c r="CS55" i="2"/>
  <c r="CT55" i="2"/>
  <c r="CU55" i="2"/>
  <c r="CV55" i="2"/>
  <c r="T56" i="2"/>
  <c r="U56" i="2"/>
  <c r="V56" i="2"/>
  <c r="W56" i="2"/>
  <c r="X56" i="2"/>
  <c r="Y56" i="2"/>
  <c r="Z56" i="2"/>
  <c r="AA56" i="2"/>
  <c r="AB56" i="2"/>
  <c r="AC56" i="2"/>
  <c r="AD56" i="2"/>
  <c r="AE56" i="2"/>
  <c r="AF56" i="2"/>
  <c r="AG56" i="2"/>
  <c r="AH56" i="2"/>
  <c r="AI56" i="2"/>
  <c r="AJ56" i="2"/>
  <c r="AK56" i="2"/>
  <c r="AL56" i="2"/>
  <c r="AM56" i="2"/>
  <c r="AN56" i="2"/>
  <c r="AO56" i="2"/>
  <c r="AP56" i="2"/>
  <c r="AQ56" i="2"/>
  <c r="AR56" i="2"/>
  <c r="AS56" i="2"/>
  <c r="AT56" i="2"/>
  <c r="AU56" i="2"/>
  <c r="AV56" i="2"/>
  <c r="AW56" i="2"/>
  <c r="AX56" i="2"/>
  <c r="AY56" i="2"/>
  <c r="AZ56" i="2"/>
  <c r="BA56" i="2"/>
  <c r="BB56" i="2"/>
  <c r="BC56" i="2"/>
  <c r="BD56" i="2"/>
  <c r="BE56" i="2"/>
  <c r="BF56" i="2"/>
  <c r="BG56" i="2"/>
  <c r="BH56" i="2"/>
  <c r="BI56" i="2"/>
  <c r="BJ56" i="2"/>
  <c r="BK56" i="2"/>
  <c r="BL56" i="2"/>
  <c r="BM56" i="2"/>
  <c r="BN56" i="2"/>
  <c r="BO56" i="2"/>
  <c r="BP56" i="2"/>
  <c r="BQ56" i="2"/>
  <c r="BR56" i="2"/>
  <c r="BS56" i="2"/>
  <c r="BT56" i="2"/>
  <c r="BU56" i="2"/>
  <c r="BV56" i="2"/>
  <c r="BW56" i="2"/>
  <c r="BX56" i="2"/>
  <c r="BY56" i="2"/>
  <c r="BZ56" i="2"/>
  <c r="CA56" i="2"/>
  <c r="CB56" i="2"/>
  <c r="CC56" i="2"/>
  <c r="CD56" i="2"/>
  <c r="CE56" i="2"/>
  <c r="CF56" i="2"/>
  <c r="CG56" i="2"/>
  <c r="CH56" i="2"/>
  <c r="CI56" i="2"/>
  <c r="CJ56" i="2"/>
  <c r="CK56" i="2"/>
  <c r="CL56" i="2"/>
  <c r="CM56" i="2"/>
  <c r="CN56" i="2"/>
  <c r="CO56" i="2"/>
  <c r="CP56" i="2"/>
  <c r="CQ56" i="2"/>
  <c r="CR56" i="2"/>
  <c r="CS56" i="2"/>
  <c r="CT56" i="2"/>
  <c r="CU56" i="2"/>
  <c r="CV56" i="2"/>
  <c r="T57" i="2"/>
  <c r="U57" i="2"/>
  <c r="V57" i="2"/>
  <c r="W57" i="2"/>
  <c r="X57" i="2"/>
  <c r="Y57" i="2"/>
  <c r="Z57" i="2"/>
  <c r="AA57" i="2"/>
  <c r="AB57" i="2"/>
  <c r="AC57" i="2"/>
  <c r="AD57" i="2"/>
  <c r="AE57" i="2"/>
  <c r="AF57" i="2"/>
  <c r="AG57" i="2"/>
  <c r="AH57" i="2"/>
  <c r="AI57" i="2"/>
  <c r="AJ57" i="2"/>
  <c r="AK57" i="2"/>
  <c r="AL57" i="2"/>
  <c r="AM57" i="2"/>
  <c r="AN57" i="2"/>
  <c r="AO57" i="2"/>
  <c r="AP57" i="2"/>
  <c r="AQ57" i="2"/>
  <c r="AR57" i="2"/>
  <c r="AS57" i="2"/>
  <c r="AT57" i="2"/>
  <c r="AU57" i="2"/>
  <c r="AV57" i="2"/>
  <c r="AW57" i="2"/>
  <c r="AX57" i="2"/>
  <c r="AY57" i="2"/>
  <c r="AZ57" i="2"/>
  <c r="BA57" i="2"/>
  <c r="BB57" i="2"/>
  <c r="BC57" i="2"/>
  <c r="BD57" i="2"/>
  <c r="BE57" i="2"/>
  <c r="BF57" i="2"/>
  <c r="BG57" i="2"/>
  <c r="BH57" i="2"/>
  <c r="BI57" i="2"/>
  <c r="BJ57" i="2"/>
  <c r="BK57" i="2"/>
  <c r="BL57" i="2"/>
  <c r="BM57" i="2"/>
  <c r="BN57" i="2"/>
  <c r="BO57" i="2"/>
  <c r="BP57" i="2"/>
  <c r="BQ57" i="2"/>
  <c r="BR57" i="2"/>
  <c r="BS57" i="2"/>
  <c r="BT57" i="2"/>
  <c r="BU57" i="2"/>
  <c r="BV57" i="2"/>
  <c r="BW57" i="2"/>
  <c r="BX57" i="2"/>
  <c r="BY57" i="2"/>
  <c r="BZ57" i="2"/>
  <c r="CA57" i="2"/>
  <c r="CB57" i="2"/>
  <c r="CC57" i="2"/>
  <c r="CD57" i="2"/>
  <c r="CE57" i="2"/>
  <c r="CF57" i="2"/>
  <c r="CG57" i="2"/>
  <c r="CH57" i="2"/>
  <c r="CI57" i="2"/>
  <c r="CJ57" i="2"/>
  <c r="CK57" i="2"/>
  <c r="CL57" i="2"/>
  <c r="CM57" i="2"/>
  <c r="CN57" i="2"/>
  <c r="CO57" i="2"/>
  <c r="CP57" i="2"/>
  <c r="CQ57" i="2"/>
  <c r="CR57" i="2"/>
  <c r="CS57" i="2"/>
  <c r="CT57" i="2"/>
  <c r="CU57" i="2"/>
  <c r="CV57" i="2"/>
  <c r="T58" i="2"/>
  <c r="U58" i="2"/>
  <c r="V58" i="2"/>
  <c r="W58" i="2"/>
  <c r="X58" i="2"/>
  <c r="Y58" i="2"/>
  <c r="Z58" i="2"/>
  <c r="AA58" i="2"/>
  <c r="AB58" i="2"/>
  <c r="AC58" i="2"/>
  <c r="AD58" i="2"/>
  <c r="AE58" i="2"/>
  <c r="AF58" i="2"/>
  <c r="AG58" i="2"/>
  <c r="AH58" i="2"/>
  <c r="AI58" i="2"/>
  <c r="AJ58" i="2"/>
  <c r="AK58" i="2"/>
  <c r="AL58" i="2"/>
  <c r="AM58" i="2"/>
  <c r="AN58" i="2"/>
  <c r="AO58" i="2"/>
  <c r="AP58" i="2"/>
  <c r="AQ58" i="2"/>
  <c r="AR58" i="2"/>
  <c r="AS58" i="2"/>
  <c r="AT58" i="2"/>
  <c r="AU58" i="2"/>
  <c r="AV58" i="2"/>
  <c r="AW58" i="2"/>
  <c r="AX58" i="2"/>
  <c r="AY58" i="2"/>
  <c r="AZ58" i="2"/>
  <c r="BA58" i="2"/>
  <c r="BB58" i="2"/>
  <c r="BC58" i="2"/>
  <c r="BD58" i="2"/>
  <c r="BE58" i="2"/>
  <c r="BF58" i="2"/>
  <c r="BG58" i="2"/>
  <c r="BH58" i="2"/>
  <c r="BI58" i="2"/>
  <c r="BJ58" i="2"/>
  <c r="BK58" i="2"/>
  <c r="BL58" i="2"/>
  <c r="BM58" i="2"/>
  <c r="BN58" i="2"/>
  <c r="BO58" i="2"/>
  <c r="BP58" i="2"/>
  <c r="BQ58" i="2"/>
  <c r="BR58" i="2"/>
  <c r="BS58" i="2"/>
  <c r="BT58" i="2"/>
  <c r="BU58" i="2"/>
  <c r="BV58" i="2"/>
  <c r="BW58" i="2"/>
  <c r="BX58" i="2"/>
  <c r="BY58" i="2"/>
  <c r="BZ58" i="2"/>
  <c r="CA58" i="2"/>
  <c r="CB58" i="2"/>
  <c r="CC58" i="2"/>
  <c r="CD58" i="2"/>
  <c r="CE58" i="2"/>
  <c r="CF58" i="2"/>
  <c r="CG58" i="2"/>
  <c r="CH58" i="2"/>
  <c r="CI58" i="2"/>
  <c r="CJ58" i="2"/>
  <c r="CK58" i="2"/>
  <c r="CL58" i="2"/>
  <c r="CM58" i="2"/>
  <c r="CN58" i="2"/>
  <c r="CO58" i="2"/>
  <c r="CP58" i="2"/>
  <c r="CQ58" i="2"/>
  <c r="CR58" i="2"/>
  <c r="CS58" i="2"/>
  <c r="CT58" i="2"/>
  <c r="CU58" i="2"/>
  <c r="CV58" i="2"/>
  <c r="T59" i="2"/>
  <c r="U59" i="2"/>
  <c r="V59" i="2"/>
  <c r="W59" i="2"/>
  <c r="X59" i="2"/>
  <c r="Y59" i="2"/>
  <c r="Z59" i="2"/>
  <c r="AA59" i="2"/>
  <c r="AB59" i="2"/>
  <c r="AC59" i="2"/>
  <c r="AD59" i="2"/>
  <c r="AE59" i="2"/>
  <c r="AF59" i="2"/>
  <c r="AG59" i="2"/>
  <c r="AH59" i="2"/>
  <c r="AI59" i="2"/>
  <c r="AJ59" i="2"/>
  <c r="AK59" i="2"/>
  <c r="AL59" i="2"/>
  <c r="AM59" i="2"/>
  <c r="AN59" i="2"/>
  <c r="AO59" i="2"/>
  <c r="AP59" i="2"/>
  <c r="AQ59" i="2"/>
  <c r="AR59" i="2"/>
  <c r="AS59" i="2"/>
  <c r="AT59" i="2"/>
  <c r="AU59" i="2"/>
  <c r="AV59" i="2"/>
  <c r="AW59" i="2"/>
  <c r="AX59" i="2"/>
  <c r="AY59" i="2"/>
  <c r="AZ59" i="2"/>
  <c r="BA59" i="2"/>
  <c r="BB59" i="2"/>
  <c r="BC59" i="2"/>
  <c r="BD59" i="2"/>
  <c r="BE59" i="2"/>
  <c r="BF59" i="2"/>
  <c r="BG59" i="2"/>
  <c r="BH59" i="2"/>
  <c r="BI59" i="2"/>
  <c r="BJ59" i="2"/>
  <c r="BK59" i="2"/>
  <c r="BL59" i="2"/>
  <c r="BM59" i="2"/>
  <c r="BN59" i="2"/>
  <c r="BO59" i="2"/>
  <c r="BP59" i="2"/>
  <c r="BQ59" i="2"/>
  <c r="BR59" i="2"/>
  <c r="BS59" i="2"/>
  <c r="BT59" i="2"/>
  <c r="BU59" i="2"/>
  <c r="BV59" i="2"/>
  <c r="BW59" i="2"/>
  <c r="BX59" i="2"/>
  <c r="BY59" i="2"/>
  <c r="BZ59" i="2"/>
  <c r="CA59" i="2"/>
  <c r="CB59" i="2"/>
  <c r="CC59" i="2"/>
  <c r="CD59" i="2"/>
  <c r="CE59" i="2"/>
  <c r="CF59" i="2"/>
  <c r="CG59" i="2"/>
  <c r="CH59" i="2"/>
  <c r="CI59" i="2"/>
  <c r="CJ59" i="2"/>
  <c r="CK59" i="2"/>
  <c r="CL59" i="2"/>
  <c r="CM59" i="2"/>
  <c r="CN59" i="2"/>
  <c r="CO59" i="2"/>
  <c r="CP59" i="2"/>
  <c r="CQ59" i="2"/>
  <c r="CR59" i="2"/>
  <c r="CS59" i="2"/>
  <c r="CT59" i="2"/>
  <c r="CU59" i="2"/>
  <c r="CV59" i="2"/>
  <c r="T60" i="2"/>
  <c r="U60" i="2"/>
  <c r="V60" i="2"/>
  <c r="W60" i="2"/>
  <c r="X60" i="2"/>
  <c r="Y60" i="2"/>
  <c r="Z60" i="2"/>
  <c r="AA60" i="2"/>
  <c r="AB60" i="2"/>
  <c r="AC60" i="2"/>
  <c r="AD60" i="2"/>
  <c r="AE60" i="2"/>
  <c r="AF60" i="2"/>
  <c r="AG60" i="2"/>
  <c r="AH60" i="2"/>
  <c r="AI60" i="2"/>
  <c r="AJ60" i="2"/>
  <c r="AK60" i="2"/>
  <c r="AL60" i="2"/>
  <c r="AM60" i="2"/>
  <c r="AN60" i="2"/>
  <c r="AO60" i="2"/>
  <c r="AP60" i="2"/>
  <c r="AQ60" i="2"/>
  <c r="AR60" i="2"/>
  <c r="AS60" i="2"/>
  <c r="AT60" i="2"/>
  <c r="AU60" i="2"/>
  <c r="AV60" i="2"/>
  <c r="AW60" i="2"/>
  <c r="AX60" i="2"/>
  <c r="AY60" i="2"/>
  <c r="AZ60" i="2"/>
  <c r="BA60" i="2"/>
  <c r="BB60" i="2"/>
  <c r="BC60" i="2"/>
  <c r="BD60" i="2"/>
  <c r="BE60" i="2"/>
  <c r="BF60" i="2"/>
  <c r="BG60" i="2"/>
  <c r="BH60" i="2"/>
  <c r="BI60" i="2"/>
  <c r="BJ60" i="2"/>
  <c r="BK60" i="2"/>
  <c r="BL60" i="2"/>
  <c r="BM60" i="2"/>
  <c r="BN60" i="2"/>
  <c r="BO60" i="2"/>
  <c r="BP60" i="2"/>
  <c r="BQ60" i="2"/>
  <c r="BR60" i="2"/>
  <c r="BS60" i="2"/>
  <c r="BT60" i="2"/>
  <c r="BU60" i="2"/>
  <c r="BV60" i="2"/>
  <c r="BW60" i="2"/>
  <c r="BX60" i="2"/>
  <c r="BY60" i="2"/>
  <c r="BZ60" i="2"/>
  <c r="CA60" i="2"/>
  <c r="CB60" i="2"/>
  <c r="CC60" i="2"/>
  <c r="CD60" i="2"/>
  <c r="CE60" i="2"/>
  <c r="CF60" i="2"/>
  <c r="CG60" i="2"/>
  <c r="CH60" i="2"/>
  <c r="CI60" i="2"/>
  <c r="CJ60" i="2"/>
  <c r="CK60" i="2"/>
  <c r="CL60" i="2"/>
  <c r="CM60" i="2"/>
  <c r="CN60" i="2"/>
  <c r="CO60" i="2"/>
  <c r="CP60" i="2"/>
  <c r="CQ60" i="2"/>
  <c r="CR60" i="2"/>
  <c r="CS60" i="2"/>
  <c r="CT60" i="2"/>
  <c r="CU60" i="2"/>
  <c r="CV60" i="2"/>
  <c r="T61" i="2"/>
  <c r="U61" i="2"/>
  <c r="V61" i="2"/>
  <c r="W61" i="2"/>
  <c r="X61" i="2"/>
  <c r="Y61" i="2"/>
  <c r="Z61" i="2"/>
  <c r="AA61" i="2"/>
  <c r="AB61" i="2"/>
  <c r="AC61" i="2"/>
  <c r="AD61" i="2"/>
  <c r="AE61" i="2"/>
  <c r="AF61" i="2"/>
  <c r="AG61" i="2"/>
  <c r="AH61" i="2"/>
  <c r="AI61" i="2"/>
  <c r="AJ61" i="2"/>
  <c r="AK61" i="2"/>
  <c r="AL61" i="2"/>
  <c r="AM61" i="2"/>
  <c r="AN61" i="2"/>
  <c r="AO61" i="2"/>
  <c r="AP61" i="2"/>
  <c r="AQ61" i="2"/>
  <c r="AR61" i="2"/>
  <c r="AS61" i="2"/>
  <c r="AT61" i="2"/>
  <c r="AU61" i="2"/>
  <c r="AV61" i="2"/>
  <c r="AW61" i="2"/>
  <c r="AX61" i="2"/>
  <c r="AY61" i="2"/>
  <c r="AZ61" i="2"/>
  <c r="BA61" i="2"/>
  <c r="BB61" i="2"/>
  <c r="BC61" i="2"/>
  <c r="BD61" i="2"/>
  <c r="BE61" i="2"/>
  <c r="BF61" i="2"/>
  <c r="BG61" i="2"/>
  <c r="BH61" i="2"/>
  <c r="BI61" i="2"/>
  <c r="BJ61" i="2"/>
  <c r="BK61" i="2"/>
  <c r="BL61" i="2"/>
  <c r="BM61" i="2"/>
  <c r="BN61" i="2"/>
  <c r="BO61" i="2"/>
  <c r="BP61" i="2"/>
  <c r="BQ61" i="2"/>
  <c r="BR61" i="2"/>
  <c r="BS61" i="2"/>
  <c r="BT61" i="2"/>
  <c r="BU61" i="2"/>
  <c r="BV61" i="2"/>
  <c r="BW61" i="2"/>
  <c r="BX61" i="2"/>
  <c r="BY61" i="2"/>
  <c r="BZ61" i="2"/>
  <c r="CA61" i="2"/>
  <c r="CB61" i="2"/>
  <c r="CC61" i="2"/>
  <c r="CD61" i="2"/>
  <c r="CE61" i="2"/>
  <c r="CF61" i="2"/>
  <c r="CG61" i="2"/>
  <c r="CH61" i="2"/>
  <c r="CI61" i="2"/>
  <c r="CJ61" i="2"/>
  <c r="CK61" i="2"/>
  <c r="CL61" i="2"/>
  <c r="CM61" i="2"/>
  <c r="CN61" i="2"/>
  <c r="CO61" i="2"/>
  <c r="CP61" i="2"/>
  <c r="CQ61" i="2"/>
  <c r="CR61" i="2"/>
  <c r="CS61" i="2"/>
  <c r="CT61" i="2"/>
  <c r="CU61" i="2"/>
  <c r="CV61" i="2"/>
  <c r="T62" i="2"/>
  <c r="U62" i="2"/>
  <c r="V62" i="2"/>
  <c r="W62" i="2"/>
  <c r="X62" i="2"/>
  <c r="Y62" i="2"/>
  <c r="Z62" i="2"/>
  <c r="AA62" i="2"/>
  <c r="AB62" i="2"/>
  <c r="AC62" i="2"/>
  <c r="AD62" i="2"/>
  <c r="AE62" i="2"/>
  <c r="AF62" i="2"/>
  <c r="AG62" i="2"/>
  <c r="AH62" i="2"/>
  <c r="AI62" i="2"/>
  <c r="AJ62" i="2"/>
  <c r="AK62" i="2"/>
  <c r="AL62" i="2"/>
  <c r="AM62" i="2"/>
  <c r="AN62" i="2"/>
  <c r="AO62" i="2"/>
  <c r="AP62" i="2"/>
  <c r="AQ62" i="2"/>
  <c r="AR62" i="2"/>
  <c r="AS62" i="2"/>
  <c r="AT62" i="2"/>
  <c r="AU62" i="2"/>
  <c r="AV62" i="2"/>
  <c r="AW62" i="2"/>
  <c r="AX62" i="2"/>
  <c r="AY62" i="2"/>
  <c r="AZ62" i="2"/>
  <c r="BA62" i="2"/>
  <c r="BB62" i="2"/>
  <c r="BC62" i="2"/>
  <c r="BD62" i="2"/>
  <c r="BE62" i="2"/>
  <c r="BF62" i="2"/>
  <c r="BG62" i="2"/>
  <c r="BH62" i="2"/>
  <c r="BI62" i="2"/>
  <c r="BJ62" i="2"/>
  <c r="BK62" i="2"/>
  <c r="BL62" i="2"/>
  <c r="BM62" i="2"/>
  <c r="BN62" i="2"/>
  <c r="BO62" i="2"/>
  <c r="BP62" i="2"/>
  <c r="BQ62" i="2"/>
  <c r="BR62" i="2"/>
  <c r="BS62" i="2"/>
  <c r="BT62" i="2"/>
  <c r="BU62" i="2"/>
  <c r="BV62" i="2"/>
  <c r="BW62" i="2"/>
  <c r="BX62" i="2"/>
  <c r="BY62" i="2"/>
  <c r="BZ62" i="2"/>
  <c r="CA62" i="2"/>
  <c r="CB62" i="2"/>
  <c r="CC62" i="2"/>
  <c r="CD62" i="2"/>
  <c r="CE62" i="2"/>
  <c r="CF62" i="2"/>
  <c r="CG62" i="2"/>
  <c r="CH62" i="2"/>
  <c r="CI62" i="2"/>
  <c r="CJ62" i="2"/>
  <c r="CK62" i="2"/>
  <c r="CL62" i="2"/>
  <c r="CM62" i="2"/>
  <c r="CN62" i="2"/>
  <c r="CO62" i="2"/>
  <c r="CP62" i="2"/>
  <c r="CQ62" i="2"/>
  <c r="CR62" i="2"/>
  <c r="CS62" i="2"/>
  <c r="CT62" i="2"/>
  <c r="CU62" i="2"/>
  <c r="CV62" i="2"/>
  <c r="T63" i="2"/>
  <c r="U63" i="2"/>
  <c r="V63" i="2"/>
  <c r="W63" i="2"/>
  <c r="X63" i="2"/>
  <c r="Y63" i="2"/>
  <c r="Z63" i="2"/>
  <c r="AA63" i="2"/>
  <c r="AB63" i="2"/>
  <c r="AC63" i="2"/>
  <c r="AD63" i="2"/>
  <c r="AE63" i="2"/>
  <c r="AF63" i="2"/>
  <c r="AG63" i="2"/>
  <c r="AH63" i="2"/>
  <c r="AI63" i="2"/>
  <c r="AJ63" i="2"/>
  <c r="AK63" i="2"/>
  <c r="AL63" i="2"/>
  <c r="AM63" i="2"/>
  <c r="AN63" i="2"/>
  <c r="AO63" i="2"/>
  <c r="AP63" i="2"/>
  <c r="AQ63" i="2"/>
  <c r="AR63" i="2"/>
  <c r="AS63" i="2"/>
  <c r="AT63" i="2"/>
  <c r="AU63" i="2"/>
  <c r="AV63" i="2"/>
  <c r="AW63" i="2"/>
  <c r="AX63" i="2"/>
  <c r="AY63" i="2"/>
  <c r="AZ63" i="2"/>
  <c r="BA63" i="2"/>
  <c r="BB63" i="2"/>
  <c r="BC63" i="2"/>
  <c r="BD63" i="2"/>
  <c r="BE63" i="2"/>
  <c r="BF63" i="2"/>
  <c r="BG63" i="2"/>
  <c r="BH63" i="2"/>
  <c r="BI63" i="2"/>
  <c r="BJ63" i="2"/>
  <c r="BK63" i="2"/>
  <c r="BL63" i="2"/>
  <c r="BM63" i="2"/>
  <c r="BN63" i="2"/>
  <c r="BO63" i="2"/>
  <c r="BP63" i="2"/>
  <c r="BQ63" i="2"/>
  <c r="BR63" i="2"/>
  <c r="BS63" i="2"/>
  <c r="BT63" i="2"/>
  <c r="BU63" i="2"/>
  <c r="BV63" i="2"/>
  <c r="BW63" i="2"/>
  <c r="BX63" i="2"/>
  <c r="BY63" i="2"/>
  <c r="BZ63" i="2"/>
  <c r="CA63" i="2"/>
  <c r="CB63" i="2"/>
  <c r="CC63" i="2"/>
  <c r="CD63" i="2"/>
  <c r="CE63" i="2"/>
  <c r="CF63" i="2"/>
  <c r="CG63" i="2"/>
  <c r="CH63" i="2"/>
  <c r="CI63" i="2"/>
  <c r="CJ63" i="2"/>
  <c r="CK63" i="2"/>
  <c r="CL63" i="2"/>
  <c r="CM63" i="2"/>
  <c r="CN63" i="2"/>
  <c r="CO63" i="2"/>
  <c r="CP63" i="2"/>
  <c r="CQ63" i="2"/>
  <c r="CR63" i="2"/>
  <c r="CS63" i="2"/>
  <c r="CT63" i="2"/>
  <c r="CU63" i="2"/>
  <c r="CV63" i="2"/>
  <c r="T64" i="2"/>
  <c r="U64" i="2"/>
  <c r="V64" i="2"/>
  <c r="W64" i="2"/>
  <c r="X64" i="2"/>
  <c r="Y64" i="2"/>
  <c r="Z64" i="2"/>
  <c r="AA64" i="2"/>
  <c r="AB64" i="2"/>
  <c r="AC64" i="2"/>
  <c r="AD64" i="2"/>
  <c r="AE64" i="2"/>
  <c r="AF64" i="2"/>
  <c r="AG64" i="2"/>
  <c r="AH64" i="2"/>
  <c r="AI64" i="2"/>
  <c r="AJ64" i="2"/>
  <c r="AK64" i="2"/>
  <c r="AL64" i="2"/>
  <c r="AM64" i="2"/>
  <c r="AN64" i="2"/>
  <c r="AO64" i="2"/>
  <c r="AP64" i="2"/>
  <c r="AQ64" i="2"/>
  <c r="AR64" i="2"/>
  <c r="AS64" i="2"/>
  <c r="AT64" i="2"/>
  <c r="AU64" i="2"/>
  <c r="AV64" i="2"/>
  <c r="AW64" i="2"/>
  <c r="AX64" i="2"/>
  <c r="AY64" i="2"/>
  <c r="AZ64" i="2"/>
  <c r="BA64" i="2"/>
  <c r="BB64" i="2"/>
  <c r="BC64" i="2"/>
  <c r="BD64" i="2"/>
  <c r="BE64" i="2"/>
  <c r="BF64" i="2"/>
  <c r="BG64" i="2"/>
  <c r="BH64" i="2"/>
  <c r="BI64" i="2"/>
  <c r="BJ64" i="2"/>
  <c r="BK64" i="2"/>
  <c r="BL64" i="2"/>
  <c r="BM64" i="2"/>
  <c r="BN64" i="2"/>
  <c r="BO64" i="2"/>
  <c r="BP64" i="2"/>
  <c r="BQ64" i="2"/>
  <c r="BR64" i="2"/>
  <c r="BS64" i="2"/>
  <c r="BT64" i="2"/>
  <c r="BU64" i="2"/>
  <c r="BV64" i="2"/>
  <c r="BW64" i="2"/>
  <c r="BX64" i="2"/>
  <c r="BY64" i="2"/>
  <c r="BZ64" i="2"/>
  <c r="CA64" i="2"/>
  <c r="CB64" i="2"/>
  <c r="CC64" i="2"/>
  <c r="CD64" i="2"/>
  <c r="CE64" i="2"/>
  <c r="CF64" i="2"/>
  <c r="CG64" i="2"/>
  <c r="CH64" i="2"/>
  <c r="CI64" i="2"/>
  <c r="CJ64" i="2"/>
  <c r="CK64" i="2"/>
  <c r="CL64" i="2"/>
  <c r="CM64" i="2"/>
  <c r="CN64" i="2"/>
  <c r="CO64" i="2"/>
  <c r="CP64" i="2"/>
  <c r="CQ64" i="2"/>
  <c r="CR64" i="2"/>
  <c r="CS64" i="2"/>
  <c r="CT64" i="2"/>
  <c r="CU64" i="2"/>
  <c r="CV64" i="2"/>
  <c r="T65" i="2"/>
  <c r="U65" i="2"/>
  <c r="V65" i="2"/>
  <c r="W65" i="2"/>
  <c r="X65" i="2"/>
  <c r="Y65" i="2"/>
  <c r="Z65" i="2"/>
  <c r="AA65" i="2"/>
  <c r="AB65" i="2"/>
  <c r="AC65" i="2"/>
  <c r="AD65" i="2"/>
  <c r="AE65" i="2"/>
  <c r="AF65" i="2"/>
  <c r="AG65" i="2"/>
  <c r="AH65" i="2"/>
  <c r="AI65" i="2"/>
  <c r="AJ65" i="2"/>
  <c r="AK65" i="2"/>
  <c r="AL65" i="2"/>
  <c r="AM65" i="2"/>
  <c r="AN65" i="2"/>
  <c r="AO65" i="2"/>
  <c r="AP65" i="2"/>
  <c r="AQ65" i="2"/>
  <c r="AR65" i="2"/>
  <c r="AS65" i="2"/>
  <c r="AT65" i="2"/>
  <c r="AU65" i="2"/>
  <c r="AV65" i="2"/>
  <c r="AW65" i="2"/>
  <c r="AX65" i="2"/>
  <c r="AY65" i="2"/>
  <c r="AZ65" i="2"/>
  <c r="BA65" i="2"/>
  <c r="BB65" i="2"/>
  <c r="BC65" i="2"/>
  <c r="BD65" i="2"/>
  <c r="BE65" i="2"/>
  <c r="BF65" i="2"/>
  <c r="BG65" i="2"/>
  <c r="BH65" i="2"/>
  <c r="BI65" i="2"/>
  <c r="BJ65" i="2"/>
  <c r="BK65" i="2"/>
  <c r="BL65" i="2"/>
  <c r="BM65" i="2"/>
  <c r="BN65" i="2"/>
  <c r="BO65" i="2"/>
  <c r="BP65" i="2"/>
  <c r="BQ65" i="2"/>
  <c r="BR65" i="2"/>
  <c r="BS65" i="2"/>
  <c r="BT65" i="2"/>
  <c r="BU65" i="2"/>
  <c r="BV65" i="2"/>
  <c r="BW65" i="2"/>
  <c r="BX65" i="2"/>
  <c r="BY65" i="2"/>
  <c r="BZ65" i="2"/>
  <c r="CA65" i="2"/>
  <c r="CB65" i="2"/>
  <c r="CC65" i="2"/>
  <c r="CD65" i="2"/>
  <c r="CE65" i="2"/>
  <c r="CF65" i="2"/>
  <c r="CG65" i="2"/>
  <c r="CH65" i="2"/>
  <c r="CI65" i="2"/>
  <c r="CJ65" i="2"/>
  <c r="CK65" i="2"/>
  <c r="CL65" i="2"/>
  <c r="CM65" i="2"/>
  <c r="CN65" i="2"/>
  <c r="CO65" i="2"/>
  <c r="CP65" i="2"/>
  <c r="CQ65" i="2"/>
  <c r="CR65" i="2"/>
  <c r="CS65" i="2"/>
  <c r="CT65" i="2"/>
  <c r="CU65" i="2"/>
  <c r="CV65" i="2"/>
  <c r="T66" i="2"/>
  <c r="U66" i="2"/>
  <c r="V66" i="2"/>
  <c r="W66" i="2"/>
  <c r="X66" i="2"/>
  <c r="Y66" i="2"/>
  <c r="Z66" i="2"/>
  <c r="AA66" i="2"/>
  <c r="AB66" i="2"/>
  <c r="AC66" i="2"/>
  <c r="AD66" i="2"/>
  <c r="AE66" i="2"/>
  <c r="AF66" i="2"/>
  <c r="AG66" i="2"/>
  <c r="AH66" i="2"/>
  <c r="AI66" i="2"/>
  <c r="AJ66" i="2"/>
  <c r="AK66" i="2"/>
  <c r="AL66" i="2"/>
  <c r="AM66" i="2"/>
  <c r="AN66" i="2"/>
  <c r="AO66" i="2"/>
  <c r="AP66" i="2"/>
  <c r="AQ66" i="2"/>
  <c r="AR66" i="2"/>
  <c r="AS66" i="2"/>
  <c r="AT66" i="2"/>
  <c r="AU66" i="2"/>
  <c r="AV66" i="2"/>
  <c r="AW66" i="2"/>
  <c r="AX66" i="2"/>
  <c r="AY66" i="2"/>
  <c r="AZ66" i="2"/>
  <c r="BA66" i="2"/>
  <c r="BB66" i="2"/>
  <c r="BC66" i="2"/>
  <c r="BD66" i="2"/>
  <c r="BE66" i="2"/>
  <c r="BF66" i="2"/>
  <c r="BG66" i="2"/>
  <c r="BH66" i="2"/>
  <c r="BI66" i="2"/>
  <c r="BJ66" i="2"/>
  <c r="BK66" i="2"/>
  <c r="BL66" i="2"/>
  <c r="BM66" i="2"/>
  <c r="BN66" i="2"/>
  <c r="BO66" i="2"/>
  <c r="BP66" i="2"/>
  <c r="BQ66" i="2"/>
  <c r="BR66" i="2"/>
  <c r="BS66" i="2"/>
  <c r="BT66" i="2"/>
  <c r="BU66" i="2"/>
  <c r="BV66" i="2"/>
  <c r="BW66" i="2"/>
  <c r="BX66" i="2"/>
  <c r="BY66" i="2"/>
  <c r="BZ66" i="2"/>
  <c r="CA66" i="2"/>
  <c r="CB66" i="2"/>
  <c r="CC66" i="2"/>
  <c r="CD66" i="2"/>
  <c r="CE66" i="2"/>
  <c r="CF66" i="2"/>
  <c r="CG66" i="2"/>
  <c r="CH66" i="2"/>
  <c r="CI66" i="2"/>
  <c r="CJ66" i="2"/>
  <c r="CK66" i="2"/>
  <c r="CL66" i="2"/>
  <c r="CM66" i="2"/>
  <c r="CN66" i="2"/>
  <c r="CO66" i="2"/>
  <c r="CP66" i="2"/>
  <c r="CQ66" i="2"/>
  <c r="CR66" i="2"/>
  <c r="CS66" i="2"/>
  <c r="CT66" i="2"/>
  <c r="CU66" i="2"/>
  <c r="CV66" i="2"/>
  <c r="T67" i="2"/>
  <c r="U67" i="2"/>
  <c r="V67" i="2"/>
  <c r="W67" i="2"/>
  <c r="X67" i="2"/>
  <c r="Y67" i="2"/>
  <c r="Z67" i="2"/>
  <c r="AA67" i="2"/>
  <c r="AB67" i="2"/>
  <c r="AC67" i="2"/>
  <c r="AD67" i="2"/>
  <c r="AE67" i="2"/>
  <c r="AF67" i="2"/>
  <c r="AG67" i="2"/>
  <c r="AH67" i="2"/>
  <c r="AI67" i="2"/>
  <c r="AJ67" i="2"/>
  <c r="AK67" i="2"/>
  <c r="AL67" i="2"/>
  <c r="AM67" i="2"/>
  <c r="AN67" i="2"/>
  <c r="AO67" i="2"/>
  <c r="AP67" i="2"/>
  <c r="AQ67" i="2"/>
  <c r="AR67" i="2"/>
  <c r="AS67" i="2"/>
  <c r="AT67" i="2"/>
  <c r="AU67" i="2"/>
  <c r="AV67" i="2"/>
  <c r="AW67" i="2"/>
  <c r="AX67" i="2"/>
  <c r="AY67" i="2"/>
  <c r="AZ67" i="2"/>
  <c r="BA67" i="2"/>
  <c r="BB67" i="2"/>
  <c r="BC67" i="2"/>
  <c r="BD67" i="2"/>
  <c r="BE67" i="2"/>
  <c r="BF67" i="2"/>
  <c r="BG67" i="2"/>
  <c r="BH67" i="2"/>
  <c r="BI67" i="2"/>
  <c r="BJ67" i="2"/>
  <c r="BK67" i="2"/>
  <c r="BL67" i="2"/>
  <c r="BM67" i="2"/>
  <c r="BN67" i="2"/>
  <c r="BO67" i="2"/>
  <c r="BP67" i="2"/>
  <c r="BQ67" i="2"/>
  <c r="BR67" i="2"/>
  <c r="BS67" i="2"/>
  <c r="BT67" i="2"/>
  <c r="BU67" i="2"/>
  <c r="BV67" i="2"/>
  <c r="BW67" i="2"/>
  <c r="BX67" i="2"/>
  <c r="BY67" i="2"/>
  <c r="BZ67" i="2"/>
  <c r="CA67" i="2"/>
  <c r="CB67" i="2"/>
  <c r="CC67" i="2"/>
  <c r="CD67" i="2"/>
  <c r="CE67" i="2"/>
  <c r="CF67" i="2"/>
  <c r="CG67" i="2"/>
  <c r="CH67" i="2"/>
  <c r="CI67" i="2"/>
  <c r="CJ67" i="2"/>
  <c r="CK67" i="2"/>
  <c r="CL67" i="2"/>
  <c r="CM67" i="2"/>
  <c r="CN67" i="2"/>
  <c r="CO67" i="2"/>
  <c r="CP67" i="2"/>
  <c r="CQ67" i="2"/>
  <c r="CR67" i="2"/>
  <c r="CS67" i="2"/>
  <c r="CT67" i="2"/>
  <c r="CU67" i="2"/>
  <c r="CV67" i="2"/>
  <c r="T68" i="2"/>
  <c r="U68" i="2"/>
  <c r="V68" i="2"/>
  <c r="W68" i="2"/>
  <c r="X68" i="2"/>
  <c r="Y68" i="2"/>
  <c r="Z68" i="2"/>
  <c r="AA68" i="2"/>
  <c r="AB68" i="2"/>
  <c r="AC68" i="2"/>
  <c r="AD68" i="2"/>
  <c r="AE68" i="2"/>
  <c r="AF68" i="2"/>
  <c r="AG68" i="2"/>
  <c r="AH68" i="2"/>
  <c r="AI68" i="2"/>
  <c r="AJ68" i="2"/>
  <c r="AK68" i="2"/>
  <c r="AL68" i="2"/>
  <c r="AM68" i="2"/>
  <c r="AN68" i="2"/>
  <c r="AO68" i="2"/>
  <c r="AP68" i="2"/>
  <c r="AQ68" i="2"/>
  <c r="AR68" i="2"/>
  <c r="AS68" i="2"/>
  <c r="AT68" i="2"/>
  <c r="AU68" i="2"/>
  <c r="AV68" i="2"/>
  <c r="AW68" i="2"/>
  <c r="AX68" i="2"/>
  <c r="AY68" i="2"/>
  <c r="AZ68" i="2"/>
  <c r="BA68" i="2"/>
  <c r="BB68" i="2"/>
  <c r="BC68" i="2"/>
  <c r="BD68" i="2"/>
  <c r="BE68" i="2"/>
  <c r="BF68" i="2"/>
  <c r="BG68" i="2"/>
  <c r="BH68" i="2"/>
  <c r="BI68" i="2"/>
  <c r="BJ68" i="2"/>
  <c r="BK68" i="2"/>
  <c r="BL68" i="2"/>
  <c r="BM68" i="2"/>
  <c r="BN68" i="2"/>
  <c r="BO68" i="2"/>
  <c r="BP68" i="2"/>
  <c r="BQ68" i="2"/>
  <c r="BR68" i="2"/>
  <c r="BS68" i="2"/>
  <c r="BT68" i="2"/>
  <c r="BU68" i="2"/>
  <c r="BV68" i="2"/>
  <c r="BW68" i="2"/>
  <c r="BX68" i="2"/>
  <c r="BY68" i="2"/>
  <c r="BZ68" i="2"/>
  <c r="CA68" i="2"/>
  <c r="CB68" i="2"/>
  <c r="CC68" i="2"/>
  <c r="CD68" i="2"/>
  <c r="CE68" i="2"/>
  <c r="CF68" i="2"/>
  <c r="CG68" i="2"/>
  <c r="CH68" i="2"/>
  <c r="CI68" i="2"/>
  <c r="CJ68" i="2"/>
  <c r="CK68" i="2"/>
  <c r="CL68" i="2"/>
  <c r="CM68" i="2"/>
  <c r="CN68" i="2"/>
  <c r="CO68" i="2"/>
  <c r="CP68" i="2"/>
  <c r="CQ68" i="2"/>
  <c r="CR68" i="2"/>
  <c r="CS68" i="2"/>
  <c r="CT68" i="2"/>
  <c r="CU68" i="2"/>
  <c r="CV68" i="2"/>
  <c r="T69" i="2"/>
  <c r="U69" i="2"/>
  <c r="V69" i="2"/>
  <c r="W69" i="2"/>
  <c r="X69" i="2"/>
  <c r="Y69" i="2"/>
  <c r="Z69" i="2"/>
  <c r="AA69" i="2"/>
  <c r="AB69" i="2"/>
  <c r="AC69" i="2"/>
  <c r="AD69" i="2"/>
  <c r="AE69" i="2"/>
  <c r="AF69" i="2"/>
  <c r="AG69" i="2"/>
  <c r="AH69" i="2"/>
  <c r="AI69" i="2"/>
  <c r="AJ69" i="2"/>
  <c r="AK69" i="2"/>
  <c r="AL69" i="2"/>
  <c r="AM69" i="2"/>
  <c r="AN69" i="2"/>
  <c r="AO69" i="2"/>
  <c r="AP69" i="2"/>
  <c r="AQ69" i="2"/>
  <c r="AR69" i="2"/>
  <c r="AS69" i="2"/>
  <c r="AT69" i="2"/>
  <c r="AU69" i="2"/>
  <c r="AV69" i="2"/>
  <c r="AW69" i="2"/>
  <c r="AX69" i="2"/>
  <c r="AY69" i="2"/>
  <c r="AZ69" i="2"/>
  <c r="BA69" i="2"/>
  <c r="BB69" i="2"/>
  <c r="BC69" i="2"/>
  <c r="BD69" i="2"/>
  <c r="BE69" i="2"/>
  <c r="BF69" i="2"/>
  <c r="BG69" i="2"/>
  <c r="BH69" i="2"/>
  <c r="BI69" i="2"/>
  <c r="BJ69" i="2"/>
  <c r="BK69" i="2"/>
  <c r="BL69" i="2"/>
  <c r="BM69" i="2"/>
  <c r="BN69" i="2"/>
  <c r="BO69" i="2"/>
  <c r="BP69" i="2"/>
  <c r="BQ69" i="2"/>
  <c r="BR69" i="2"/>
  <c r="BS69" i="2"/>
  <c r="BT69" i="2"/>
  <c r="BU69" i="2"/>
  <c r="BV69" i="2"/>
  <c r="BW69" i="2"/>
  <c r="BX69" i="2"/>
  <c r="BY69" i="2"/>
  <c r="BZ69" i="2"/>
  <c r="CA69" i="2"/>
  <c r="CB69" i="2"/>
  <c r="CC69" i="2"/>
  <c r="CD69" i="2"/>
  <c r="CE69" i="2"/>
  <c r="CF69" i="2"/>
  <c r="CG69" i="2"/>
  <c r="CH69" i="2"/>
  <c r="CI69" i="2"/>
  <c r="CJ69" i="2"/>
  <c r="CK69" i="2"/>
  <c r="CL69" i="2"/>
  <c r="CM69" i="2"/>
  <c r="CN69" i="2"/>
  <c r="CO69" i="2"/>
  <c r="CP69" i="2"/>
  <c r="CQ69" i="2"/>
  <c r="CR69" i="2"/>
  <c r="CS69" i="2"/>
  <c r="CT69" i="2"/>
  <c r="CU69" i="2"/>
  <c r="CV69" i="2"/>
  <c r="T70" i="2"/>
  <c r="U70" i="2"/>
  <c r="V70" i="2"/>
  <c r="W70" i="2"/>
  <c r="X70" i="2"/>
  <c r="Y70" i="2"/>
  <c r="Z70" i="2"/>
  <c r="AA70" i="2"/>
  <c r="AB70" i="2"/>
  <c r="AC70" i="2"/>
  <c r="AD70" i="2"/>
  <c r="AE70" i="2"/>
  <c r="AF70" i="2"/>
  <c r="AG70" i="2"/>
  <c r="AH70" i="2"/>
  <c r="AI70" i="2"/>
  <c r="AJ70" i="2"/>
  <c r="AK70" i="2"/>
  <c r="AL70" i="2"/>
  <c r="AM70" i="2"/>
  <c r="AN70" i="2"/>
  <c r="AO70" i="2"/>
  <c r="AP70" i="2"/>
  <c r="AQ70" i="2"/>
  <c r="AR70" i="2"/>
  <c r="AS70" i="2"/>
  <c r="AT70" i="2"/>
  <c r="AU70" i="2"/>
  <c r="AV70" i="2"/>
  <c r="AW70" i="2"/>
  <c r="AX70" i="2"/>
  <c r="AY70" i="2"/>
  <c r="AZ70" i="2"/>
  <c r="BA70" i="2"/>
  <c r="BB70" i="2"/>
  <c r="BC70" i="2"/>
  <c r="BD70" i="2"/>
  <c r="BE70" i="2"/>
  <c r="BF70" i="2"/>
  <c r="BG70" i="2"/>
  <c r="BH70" i="2"/>
  <c r="BI70" i="2"/>
  <c r="BJ70" i="2"/>
  <c r="BK70" i="2"/>
  <c r="BL70" i="2"/>
  <c r="BM70" i="2"/>
  <c r="BN70" i="2"/>
  <c r="BO70" i="2"/>
  <c r="BP70" i="2"/>
  <c r="BQ70" i="2"/>
  <c r="BR70" i="2"/>
  <c r="BS70" i="2"/>
  <c r="BT70" i="2"/>
  <c r="BU70" i="2"/>
  <c r="BV70" i="2"/>
  <c r="BW70" i="2"/>
  <c r="BX70" i="2"/>
  <c r="BY70" i="2"/>
  <c r="BZ70" i="2"/>
  <c r="CA70" i="2"/>
  <c r="CB70" i="2"/>
  <c r="CC70" i="2"/>
  <c r="CD70" i="2"/>
  <c r="CE70" i="2"/>
  <c r="CF70" i="2"/>
  <c r="CG70" i="2"/>
  <c r="CH70" i="2"/>
  <c r="CI70" i="2"/>
  <c r="CJ70" i="2"/>
  <c r="CK70" i="2"/>
  <c r="CL70" i="2"/>
  <c r="CM70" i="2"/>
  <c r="CN70" i="2"/>
  <c r="CO70" i="2"/>
  <c r="CP70" i="2"/>
  <c r="CQ70" i="2"/>
  <c r="CR70" i="2"/>
  <c r="CS70" i="2"/>
  <c r="CT70" i="2"/>
  <c r="CU70" i="2"/>
  <c r="CV70" i="2"/>
  <c r="T71" i="2"/>
  <c r="U71" i="2"/>
  <c r="V71" i="2"/>
  <c r="W71" i="2"/>
  <c r="X71" i="2"/>
  <c r="Y71" i="2"/>
  <c r="Z71" i="2"/>
  <c r="AA71" i="2"/>
  <c r="AB71" i="2"/>
  <c r="AC71" i="2"/>
  <c r="AD71" i="2"/>
  <c r="AE71" i="2"/>
  <c r="AF71" i="2"/>
  <c r="AG71" i="2"/>
  <c r="AH71" i="2"/>
  <c r="AI71" i="2"/>
  <c r="AJ71" i="2"/>
  <c r="AK71" i="2"/>
  <c r="AL71" i="2"/>
  <c r="AM71" i="2"/>
  <c r="AN71" i="2"/>
  <c r="AO71" i="2"/>
  <c r="AP71" i="2"/>
  <c r="AQ71" i="2"/>
  <c r="AR71" i="2"/>
  <c r="AS71" i="2"/>
  <c r="AT71" i="2"/>
  <c r="AU71" i="2"/>
  <c r="AV71" i="2"/>
  <c r="AW71" i="2"/>
  <c r="AX71" i="2"/>
  <c r="AY71" i="2"/>
  <c r="AZ71" i="2"/>
  <c r="BA71" i="2"/>
  <c r="BB71" i="2"/>
  <c r="BC71" i="2"/>
  <c r="BD71" i="2"/>
  <c r="BE71" i="2"/>
  <c r="BF71" i="2"/>
  <c r="BG71" i="2"/>
  <c r="BH71" i="2"/>
  <c r="BI71" i="2"/>
  <c r="BJ71" i="2"/>
  <c r="BK71" i="2"/>
  <c r="BL71" i="2"/>
  <c r="BM71" i="2"/>
  <c r="BN71" i="2"/>
  <c r="BO71" i="2"/>
  <c r="BP71" i="2"/>
  <c r="BQ71" i="2"/>
  <c r="BR71" i="2"/>
  <c r="BS71" i="2"/>
  <c r="BT71" i="2"/>
  <c r="BU71" i="2"/>
  <c r="BV71" i="2"/>
  <c r="BW71" i="2"/>
  <c r="BX71" i="2"/>
  <c r="BY71" i="2"/>
  <c r="BZ71" i="2"/>
  <c r="CA71" i="2"/>
  <c r="CB71" i="2"/>
  <c r="CC71" i="2"/>
  <c r="CD71" i="2"/>
  <c r="CE71" i="2"/>
  <c r="CF71" i="2"/>
  <c r="CG71" i="2"/>
  <c r="CH71" i="2"/>
  <c r="CI71" i="2"/>
  <c r="CJ71" i="2"/>
  <c r="CK71" i="2"/>
  <c r="CL71" i="2"/>
  <c r="CM71" i="2"/>
  <c r="CN71" i="2"/>
  <c r="CO71" i="2"/>
  <c r="CP71" i="2"/>
  <c r="CQ71" i="2"/>
  <c r="CR71" i="2"/>
  <c r="CS71" i="2"/>
  <c r="CT71" i="2"/>
  <c r="CU71" i="2"/>
  <c r="CV71" i="2"/>
  <c r="T72" i="2"/>
  <c r="U72" i="2"/>
  <c r="V72" i="2"/>
  <c r="W72" i="2"/>
  <c r="X72" i="2"/>
  <c r="Y72" i="2"/>
  <c r="Z72" i="2"/>
  <c r="AA72" i="2"/>
  <c r="AB72" i="2"/>
  <c r="AC72" i="2"/>
  <c r="AD72" i="2"/>
  <c r="AE72" i="2"/>
  <c r="AF72" i="2"/>
  <c r="AG72" i="2"/>
  <c r="AH72" i="2"/>
  <c r="AI72" i="2"/>
  <c r="AJ72" i="2"/>
  <c r="AK72" i="2"/>
  <c r="AL72" i="2"/>
  <c r="AM72" i="2"/>
  <c r="AN72" i="2"/>
  <c r="AO72" i="2"/>
  <c r="AP72" i="2"/>
  <c r="AQ72" i="2"/>
  <c r="AR72" i="2"/>
  <c r="AS72" i="2"/>
  <c r="AT72" i="2"/>
  <c r="AU72" i="2"/>
  <c r="AV72" i="2"/>
  <c r="AW72" i="2"/>
  <c r="AX72" i="2"/>
  <c r="AY72" i="2"/>
  <c r="AZ72" i="2"/>
  <c r="BA72" i="2"/>
  <c r="BB72" i="2"/>
  <c r="BC72" i="2"/>
  <c r="BD72" i="2"/>
  <c r="BE72" i="2"/>
  <c r="BF72" i="2"/>
  <c r="BG72" i="2"/>
  <c r="BH72" i="2"/>
  <c r="BI72" i="2"/>
  <c r="BJ72" i="2"/>
  <c r="BK72" i="2"/>
  <c r="BL72" i="2"/>
  <c r="BM72" i="2"/>
  <c r="BN72" i="2"/>
  <c r="BO72" i="2"/>
  <c r="BP72" i="2"/>
  <c r="BQ72" i="2"/>
  <c r="BR72" i="2"/>
  <c r="BS72" i="2"/>
  <c r="BT72" i="2"/>
  <c r="BU72" i="2"/>
  <c r="BV72" i="2"/>
  <c r="BW72" i="2"/>
  <c r="BX72" i="2"/>
  <c r="BY72" i="2"/>
  <c r="BZ72" i="2"/>
  <c r="CA72" i="2"/>
  <c r="CB72" i="2"/>
  <c r="CC72" i="2"/>
  <c r="CD72" i="2"/>
  <c r="CE72" i="2"/>
  <c r="CF72" i="2"/>
  <c r="CG72" i="2"/>
  <c r="CH72" i="2"/>
  <c r="CI72" i="2"/>
  <c r="CJ72" i="2"/>
  <c r="CK72" i="2"/>
  <c r="CL72" i="2"/>
  <c r="CM72" i="2"/>
  <c r="CN72" i="2"/>
  <c r="CO72" i="2"/>
  <c r="CP72" i="2"/>
  <c r="CQ72" i="2"/>
  <c r="CR72" i="2"/>
  <c r="CS72" i="2"/>
  <c r="CT72" i="2"/>
  <c r="CU72" i="2"/>
  <c r="CV72" i="2"/>
  <c r="T73" i="2"/>
  <c r="U73" i="2"/>
  <c r="V73" i="2"/>
  <c r="W73" i="2"/>
  <c r="X73" i="2"/>
  <c r="Y73" i="2"/>
  <c r="Z73" i="2"/>
  <c r="AA73" i="2"/>
  <c r="AB73" i="2"/>
  <c r="AC73" i="2"/>
  <c r="AD73" i="2"/>
  <c r="AE73" i="2"/>
  <c r="AF73" i="2"/>
  <c r="AG73" i="2"/>
  <c r="AH73" i="2"/>
  <c r="AI73" i="2"/>
  <c r="AJ73" i="2"/>
  <c r="AK73" i="2"/>
  <c r="AL73" i="2"/>
  <c r="AM73" i="2"/>
  <c r="AN73" i="2"/>
  <c r="AO73" i="2"/>
  <c r="AP73" i="2"/>
  <c r="AQ73" i="2"/>
  <c r="AR73" i="2"/>
  <c r="AS73" i="2"/>
  <c r="AT73" i="2"/>
  <c r="AU73" i="2"/>
  <c r="AV73" i="2"/>
  <c r="AW73" i="2"/>
  <c r="AX73" i="2"/>
  <c r="AY73" i="2"/>
  <c r="AZ73" i="2"/>
  <c r="BA73" i="2"/>
  <c r="BB73" i="2"/>
  <c r="BC73" i="2"/>
  <c r="BD73" i="2"/>
  <c r="BE73" i="2"/>
  <c r="BF73" i="2"/>
  <c r="BG73" i="2"/>
  <c r="BH73" i="2"/>
  <c r="BI73" i="2"/>
  <c r="BJ73" i="2"/>
  <c r="BK73" i="2"/>
  <c r="BL73" i="2"/>
  <c r="BM73" i="2"/>
  <c r="BN73" i="2"/>
  <c r="BO73" i="2"/>
  <c r="BP73" i="2"/>
  <c r="BQ73" i="2"/>
  <c r="BR73" i="2"/>
  <c r="BS73" i="2"/>
  <c r="BT73" i="2"/>
  <c r="BU73" i="2"/>
  <c r="BV73" i="2"/>
  <c r="BW73" i="2"/>
  <c r="BX73" i="2"/>
  <c r="BY73" i="2"/>
  <c r="BZ73" i="2"/>
  <c r="CA73" i="2"/>
  <c r="CB73" i="2"/>
  <c r="CC73" i="2"/>
  <c r="CD73" i="2"/>
  <c r="CE73" i="2"/>
  <c r="CF73" i="2"/>
  <c r="CG73" i="2"/>
  <c r="CH73" i="2"/>
  <c r="CI73" i="2"/>
  <c r="CJ73" i="2"/>
  <c r="CK73" i="2"/>
  <c r="CL73" i="2"/>
  <c r="CM73" i="2"/>
  <c r="CN73" i="2"/>
  <c r="CO73" i="2"/>
  <c r="CP73" i="2"/>
  <c r="CQ73" i="2"/>
  <c r="CR73" i="2"/>
  <c r="CS73" i="2"/>
  <c r="CT73" i="2"/>
  <c r="CU73" i="2"/>
  <c r="CV73" i="2"/>
  <c r="T74" i="2"/>
  <c r="U74" i="2"/>
  <c r="V74" i="2"/>
  <c r="W74" i="2"/>
  <c r="X74" i="2"/>
  <c r="Y74" i="2"/>
  <c r="Z74" i="2"/>
  <c r="AA74" i="2"/>
  <c r="AB74" i="2"/>
  <c r="AC74" i="2"/>
  <c r="AD74" i="2"/>
  <c r="AE74" i="2"/>
  <c r="AF74" i="2"/>
  <c r="AG74" i="2"/>
  <c r="AH74" i="2"/>
  <c r="AI74" i="2"/>
  <c r="AJ74" i="2"/>
  <c r="AK74" i="2"/>
  <c r="AL74" i="2"/>
  <c r="AM74" i="2"/>
  <c r="AN74" i="2"/>
  <c r="AO74" i="2"/>
  <c r="AP74" i="2"/>
  <c r="AQ74" i="2"/>
  <c r="AR74" i="2"/>
  <c r="AS74" i="2"/>
  <c r="AT74" i="2"/>
  <c r="AU74" i="2"/>
  <c r="AV74" i="2"/>
  <c r="AW74" i="2"/>
  <c r="AX74" i="2"/>
  <c r="AY74" i="2"/>
  <c r="AZ74" i="2"/>
  <c r="BA74" i="2"/>
  <c r="BB74" i="2"/>
  <c r="BC74" i="2"/>
  <c r="BD74" i="2"/>
  <c r="BE74" i="2"/>
  <c r="BF74" i="2"/>
  <c r="BG74" i="2"/>
  <c r="BH74" i="2"/>
  <c r="BI74" i="2"/>
  <c r="BJ74" i="2"/>
  <c r="BK74" i="2"/>
  <c r="BL74" i="2"/>
  <c r="BM74" i="2"/>
  <c r="BN74" i="2"/>
  <c r="BO74" i="2"/>
  <c r="BP74" i="2"/>
  <c r="BQ74" i="2"/>
  <c r="BR74" i="2"/>
  <c r="BS74" i="2"/>
  <c r="BT74" i="2"/>
  <c r="BU74" i="2"/>
  <c r="BV74" i="2"/>
  <c r="BW74" i="2"/>
  <c r="BX74" i="2"/>
  <c r="BY74" i="2"/>
  <c r="BZ74" i="2"/>
  <c r="CA74" i="2"/>
  <c r="CB74" i="2"/>
  <c r="CC74" i="2"/>
  <c r="CD74" i="2"/>
  <c r="CE74" i="2"/>
  <c r="CF74" i="2"/>
  <c r="CG74" i="2"/>
  <c r="CH74" i="2"/>
  <c r="CI74" i="2"/>
  <c r="CJ74" i="2"/>
  <c r="CK74" i="2"/>
  <c r="CL74" i="2"/>
  <c r="CM74" i="2"/>
  <c r="CN74" i="2"/>
  <c r="CO74" i="2"/>
  <c r="CP74" i="2"/>
  <c r="CQ74" i="2"/>
  <c r="CR74" i="2"/>
  <c r="CS74" i="2"/>
  <c r="CT74" i="2"/>
  <c r="CU74" i="2"/>
  <c r="CV74" i="2"/>
  <c r="T75" i="2"/>
  <c r="U75" i="2"/>
  <c r="V75" i="2"/>
  <c r="W75" i="2"/>
  <c r="X75" i="2"/>
  <c r="Y75" i="2"/>
  <c r="Z75" i="2"/>
  <c r="AA75" i="2"/>
  <c r="AB75" i="2"/>
  <c r="AC75" i="2"/>
  <c r="AD75" i="2"/>
  <c r="AE75" i="2"/>
  <c r="AF75" i="2"/>
  <c r="AG75" i="2"/>
  <c r="AH75" i="2"/>
  <c r="AI75" i="2"/>
  <c r="AJ75" i="2"/>
  <c r="AK75" i="2"/>
  <c r="AL75" i="2"/>
  <c r="AM75" i="2"/>
  <c r="AN75" i="2"/>
  <c r="AO75" i="2"/>
  <c r="AP75" i="2"/>
  <c r="AQ75" i="2"/>
  <c r="AR75" i="2"/>
  <c r="AS75" i="2"/>
  <c r="AT75" i="2"/>
  <c r="AU75" i="2"/>
  <c r="AV75" i="2"/>
  <c r="AW75" i="2"/>
  <c r="AX75" i="2"/>
  <c r="AY75" i="2"/>
  <c r="AZ75" i="2"/>
  <c r="BA75" i="2"/>
  <c r="BB75" i="2"/>
  <c r="BC75" i="2"/>
  <c r="BD75" i="2"/>
  <c r="BE75" i="2"/>
  <c r="BF75" i="2"/>
  <c r="BG75" i="2"/>
  <c r="BH75" i="2"/>
  <c r="BI75" i="2"/>
  <c r="BJ75" i="2"/>
  <c r="BK75" i="2"/>
  <c r="BL75" i="2"/>
  <c r="BM75" i="2"/>
  <c r="BN75" i="2"/>
  <c r="BO75" i="2"/>
  <c r="BP75" i="2"/>
  <c r="BQ75" i="2"/>
  <c r="BR75" i="2"/>
  <c r="BS75" i="2"/>
  <c r="BT75" i="2"/>
  <c r="BU75" i="2"/>
  <c r="BV75" i="2"/>
  <c r="BW75" i="2"/>
  <c r="BX75" i="2"/>
  <c r="BY75" i="2"/>
  <c r="BZ75" i="2"/>
  <c r="CA75" i="2"/>
  <c r="CB75" i="2"/>
  <c r="CC75" i="2"/>
  <c r="CD75" i="2"/>
  <c r="CE75" i="2"/>
  <c r="CF75" i="2"/>
  <c r="CG75" i="2"/>
  <c r="CH75" i="2"/>
  <c r="CI75" i="2"/>
  <c r="CJ75" i="2"/>
  <c r="CK75" i="2"/>
  <c r="CL75" i="2"/>
  <c r="CM75" i="2"/>
  <c r="CN75" i="2"/>
  <c r="CO75" i="2"/>
  <c r="CP75" i="2"/>
  <c r="CQ75" i="2"/>
  <c r="CR75" i="2"/>
  <c r="CS75" i="2"/>
  <c r="CT75" i="2"/>
  <c r="CU75" i="2"/>
  <c r="CV75" i="2"/>
  <c r="T76" i="2"/>
  <c r="U76" i="2"/>
  <c r="V76" i="2"/>
  <c r="W76" i="2"/>
  <c r="X76" i="2"/>
  <c r="Y76" i="2"/>
  <c r="Z76" i="2"/>
  <c r="AA76" i="2"/>
  <c r="AB76" i="2"/>
  <c r="AC76" i="2"/>
  <c r="AD76" i="2"/>
  <c r="AE76" i="2"/>
  <c r="AF76" i="2"/>
  <c r="AG76" i="2"/>
  <c r="AH76" i="2"/>
  <c r="AI76" i="2"/>
  <c r="AJ76" i="2"/>
  <c r="AK76" i="2"/>
  <c r="AL76" i="2"/>
  <c r="AM76" i="2"/>
  <c r="AN76" i="2"/>
  <c r="AO76" i="2"/>
  <c r="AP76" i="2"/>
  <c r="AQ76" i="2"/>
  <c r="AR76" i="2"/>
  <c r="AS76" i="2"/>
  <c r="AT76" i="2"/>
  <c r="AU76" i="2"/>
  <c r="AV76" i="2"/>
  <c r="AW76" i="2"/>
  <c r="AX76" i="2"/>
  <c r="AY76" i="2"/>
  <c r="AZ76" i="2"/>
  <c r="BA76" i="2"/>
  <c r="BB76" i="2"/>
  <c r="BC76" i="2"/>
  <c r="BD76" i="2"/>
  <c r="BE76" i="2"/>
  <c r="BF76" i="2"/>
  <c r="BG76" i="2"/>
  <c r="BH76" i="2"/>
  <c r="BI76" i="2"/>
  <c r="BJ76" i="2"/>
  <c r="BK76" i="2"/>
  <c r="BL76" i="2"/>
  <c r="BM76" i="2"/>
  <c r="BN76" i="2"/>
  <c r="BO76" i="2"/>
  <c r="BP76" i="2"/>
  <c r="BQ76" i="2"/>
  <c r="BR76" i="2"/>
  <c r="BS76" i="2"/>
  <c r="BT76" i="2"/>
  <c r="BU76" i="2"/>
  <c r="BV76" i="2"/>
  <c r="BW76" i="2"/>
  <c r="BX76" i="2"/>
  <c r="BY76" i="2"/>
  <c r="BZ76" i="2"/>
  <c r="CA76" i="2"/>
  <c r="CB76" i="2"/>
  <c r="CC76" i="2"/>
  <c r="CD76" i="2"/>
  <c r="CE76" i="2"/>
  <c r="CF76" i="2"/>
  <c r="CG76" i="2"/>
  <c r="CH76" i="2"/>
  <c r="CI76" i="2"/>
  <c r="CJ76" i="2"/>
  <c r="CK76" i="2"/>
  <c r="CL76" i="2"/>
  <c r="CM76" i="2"/>
  <c r="CN76" i="2"/>
  <c r="CO76" i="2"/>
  <c r="CP76" i="2"/>
  <c r="CQ76" i="2"/>
  <c r="CR76" i="2"/>
  <c r="CS76" i="2"/>
  <c r="CT76" i="2"/>
  <c r="CU76" i="2"/>
  <c r="CV76" i="2"/>
  <c r="T77" i="2"/>
  <c r="U77" i="2"/>
  <c r="V77" i="2"/>
  <c r="W77" i="2"/>
  <c r="X77" i="2"/>
  <c r="Y77" i="2"/>
  <c r="Z77" i="2"/>
  <c r="AA77" i="2"/>
  <c r="AB77" i="2"/>
  <c r="AC77" i="2"/>
  <c r="AD77" i="2"/>
  <c r="AE77" i="2"/>
  <c r="AF77" i="2"/>
  <c r="AG77" i="2"/>
  <c r="AH77" i="2"/>
  <c r="AI77" i="2"/>
  <c r="AJ77" i="2"/>
  <c r="AK77" i="2"/>
  <c r="AL77" i="2"/>
  <c r="AM77" i="2"/>
  <c r="AN77" i="2"/>
  <c r="AO77" i="2"/>
  <c r="AP77" i="2"/>
  <c r="AQ77" i="2"/>
  <c r="AR77" i="2"/>
  <c r="AS77" i="2"/>
  <c r="AT77" i="2"/>
  <c r="AU77" i="2"/>
  <c r="AV77" i="2"/>
  <c r="AW77" i="2"/>
  <c r="AX77" i="2"/>
  <c r="AY77" i="2"/>
  <c r="AZ77" i="2"/>
  <c r="BA77" i="2"/>
  <c r="BB77" i="2"/>
  <c r="BC77" i="2"/>
  <c r="BD77" i="2"/>
  <c r="BE77" i="2"/>
  <c r="BF77" i="2"/>
  <c r="BG77" i="2"/>
  <c r="BH77" i="2"/>
  <c r="BI77" i="2"/>
  <c r="BJ77" i="2"/>
  <c r="BK77" i="2"/>
  <c r="BL77" i="2"/>
  <c r="BM77" i="2"/>
  <c r="BN77" i="2"/>
  <c r="BO77" i="2"/>
  <c r="BP77" i="2"/>
  <c r="BQ77" i="2"/>
  <c r="BR77" i="2"/>
  <c r="BS77" i="2"/>
  <c r="BT77" i="2"/>
  <c r="BU77" i="2"/>
  <c r="BV77" i="2"/>
  <c r="BW77" i="2"/>
  <c r="BX77" i="2"/>
  <c r="BY77" i="2"/>
  <c r="BZ77" i="2"/>
  <c r="CA77" i="2"/>
  <c r="CB77" i="2"/>
  <c r="CC77" i="2"/>
  <c r="CD77" i="2"/>
  <c r="CE77" i="2"/>
  <c r="CF77" i="2"/>
  <c r="CG77" i="2"/>
  <c r="CH77" i="2"/>
  <c r="CI77" i="2"/>
  <c r="CJ77" i="2"/>
  <c r="CK77" i="2"/>
  <c r="CL77" i="2"/>
  <c r="CM77" i="2"/>
  <c r="CN77" i="2"/>
  <c r="CO77" i="2"/>
  <c r="CP77" i="2"/>
  <c r="CQ77" i="2"/>
  <c r="CR77" i="2"/>
  <c r="CS77" i="2"/>
  <c r="CT77" i="2"/>
  <c r="CU77" i="2"/>
  <c r="CV77" i="2"/>
  <c r="T4" i="2"/>
  <c r="U4" i="2"/>
  <c r="V4" i="2"/>
  <c r="W4" i="2"/>
  <c r="X4" i="2"/>
  <c r="Y4" i="2"/>
  <c r="Z4" i="2"/>
  <c r="AA4" i="2"/>
  <c r="AB4" i="2"/>
  <c r="AC4" i="2"/>
  <c r="AD4" i="2"/>
  <c r="AE4" i="2"/>
  <c r="AF4" i="2"/>
  <c r="AG4" i="2"/>
  <c r="AH4" i="2"/>
  <c r="AI4" i="2"/>
  <c r="AJ4" i="2"/>
  <c r="AK4" i="2"/>
  <c r="AL4" i="2"/>
  <c r="AM4" i="2"/>
  <c r="AN4" i="2"/>
  <c r="AO4" i="2"/>
  <c r="AP4" i="2"/>
  <c r="AQ4" i="2"/>
  <c r="AR4" i="2"/>
  <c r="AS4" i="2"/>
  <c r="AT4" i="2"/>
  <c r="AU4" i="2"/>
  <c r="AV4" i="2"/>
  <c r="AW4" i="2"/>
  <c r="AX4" i="2"/>
  <c r="AY4" i="2"/>
  <c r="AZ4" i="2"/>
  <c r="BA4" i="2"/>
  <c r="BB4" i="2"/>
  <c r="BC4" i="2"/>
  <c r="BD4" i="2"/>
  <c r="BE4" i="2"/>
  <c r="BF4" i="2"/>
  <c r="BG4" i="2"/>
  <c r="BH4" i="2"/>
  <c r="BI4" i="2"/>
  <c r="BJ4" i="2"/>
  <c r="BK4" i="2"/>
  <c r="BL4" i="2"/>
  <c r="BM4" i="2"/>
  <c r="BN4" i="2"/>
  <c r="BO4" i="2"/>
  <c r="BP4" i="2"/>
  <c r="BQ4" i="2"/>
  <c r="BR4" i="2"/>
  <c r="BS4" i="2"/>
  <c r="BT4" i="2"/>
  <c r="BU4" i="2"/>
  <c r="BV4" i="2"/>
  <c r="BW4" i="2"/>
  <c r="BX4" i="2"/>
  <c r="BY4" i="2"/>
  <c r="BZ4" i="2"/>
  <c r="CA4" i="2"/>
  <c r="CB4" i="2"/>
  <c r="CC4" i="2"/>
  <c r="CD4" i="2"/>
  <c r="CE4" i="2"/>
  <c r="CF4" i="2"/>
  <c r="CG4" i="2"/>
  <c r="CH4" i="2"/>
  <c r="CI4" i="2"/>
  <c r="CJ4" i="2"/>
  <c r="CK4" i="2"/>
  <c r="CL4" i="2"/>
  <c r="CM4" i="2"/>
  <c r="CN4" i="2"/>
  <c r="CO4" i="2"/>
  <c r="CP4" i="2"/>
  <c r="CQ4" i="2"/>
  <c r="CR4" i="2"/>
  <c r="CS4" i="2"/>
  <c r="CT4" i="2"/>
  <c r="CU4" i="2"/>
  <c r="CV4" i="2"/>
  <c r="T5" i="2"/>
  <c r="U5" i="2"/>
  <c r="V5" i="2"/>
  <c r="W5" i="2"/>
  <c r="X5" i="2"/>
  <c r="Y5" i="2"/>
  <c r="Z5" i="2"/>
  <c r="AA5" i="2"/>
  <c r="AB5" i="2"/>
  <c r="AC5" i="2"/>
  <c r="AD5" i="2"/>
  <c r="AE5" i="2"/>
  <c r="AF5" i="2"/>
  <c r="AG5" i="2"/>
  <c r="AH5" i="2"/>
  <c r="AI5" i="2"/>
  <c r="AJ5" i="2"/>
  <c r="AK5" i="2"/>
  <c r="AL5" i="2"/>
  <c r="AM5" i="2"/>
  <c r="AN5" i="2"/>
  <c r="AO5" i="2"/>
  <c r="AP5" i="2"/>
  <c r="AQ5" i="2"/>
  <c r="AR5" i="2"/>
  <c r="AS5" i="2"/>
  <c r="AT5" i="2"/>
  <c r="AU5" i="2"/>
  <c r="AV5" i="2"/>
  <c r="AW5" i="2"/>
  <c r="AX5" i="2"/>
  <c r="AY5" i="2"/>
  <c r="AZ5" i="2"/>
  <c r="BA5" i="2"/>
  <c r="BB5" i="2"/>
  <c r="BC5" i="2"/>
  <c r="BD5" i="2"/>
  <c r="BE5" i="2"/>
  <c r="BF5" i="2"/>
  <c r="BG5" i="2"/>
  <c r="BH5" i="2"/>
  <c r="BI5" i="2"/>
  <c r="BJ5" i="2"/>
  <c r="BK5" i="2"/>
  <c r="BL5" i="2"/>
  <c r="BM5" i="2"/>
  <c r="BN5" i="2"/>
  <c r="BO5" i="2"/>
  <c r="BP5" i="2"/>
  <c r="BQ5" i="2"/>
  <c r="BR5" i="2"/>
  <c r="BS5" i="2"/>
  <c r="BT5" i="2"/>
  <c r="BU5" i="2"/>
  <c r="BV5" i="2"/>
  <c r="BW5" i="2"/>
  <c r="BX5" i="2"/>
  <c r="BY5" i="2"/>
  <c r="BZ5" i="2"/>
  <c r="CA5" i="2"/>
  <c r="CB5" i="2"/>
  <c r="CC5" i="2"/>
  <c r="CD5" i="2"/>
  <c r="CE5" i="2"/>
  <c r="CF5" i="2"/>
  <c r="CG5" i="2"/>
  <c r="CH5" i="2"/>
  <c r="CI5" i="2"/>
  <c r="CJ5" i="2"/>
  <c r="CK5" i="2"/>
  <c r="CL5" i="2"/>
  <c r="CM5" i="2"/>
  <c r="CN5" i="2"/>
  <c r="CO5" i="2"/>
  <c r="CP5" i="2"/>
  <c r="CQ5" i="2"/>
  <c r="CR5" i="2"/>
  <c r="CS5" i="2"/>
  <c r="CT5" i="2"/>
  <c r="CU5" i="2"/>
  <c r="CV5" i="2"/>
  <c r="T6" i="2"/>
  <c r="U6" i="2"/>
  <c r="V6" i="2"/>
  <c r="W6" i="2"/>
  <c r="X6" i="2"/>
  <c r="Y6" i="2"/>
  <c r="Z6" i="2"/>
  <c r="AA6" i="2"/>
  <c r="AB6" i="2"/>
  <c r="AC6" i="2"/>
  <c r="AD6" i="2"/>
  <c r="AE6" i="2"/>
  <c r="AF6" i="2"/>
  <c r="AG6" i="2"/>
  <c r="AH6" i="2"/>
  <c r="AI6" i="2"/>
  <c r="AJ6" i="2"/>
  <c r="AK6" i="2"/>
  <c r="AL6" i="2"/>
  <c r="AM6" i="2"/>
  <c r="AN6" i="2"/>
  <c r="AO6" i="2"/>
  <c r="AP6" i="2"/>
  <c r="AQ6" i="2"/>
  <c r="AR6" i="2"/>
  <c r="AS6" i="2"/>
  <c r="AT6" i="2"/>
  <c r="AU6" i="2"/>
  <c r="AV6" i="2"/>
  <c r="AW6" i="2"/>
  <c r="AX6" i="2"/>
  <c r="AY6" i="2"/>
  <c r="AZ6" i="2"/>
  <c r="BA6" i="2"/>
  <c r="BB6" i="2"/>
  <c r="BC6" i="2"/>
  <c r="BD6" i="2"/>
  <c r="BE6" i="2"/>
  <c r="BF6" i="2"/>
  <c r="BG6" i="2"/>
  <c r="BH6" i="2"/>
  <c r="BI6" i="2"/>
  <c r="BJ6" i="2"/>
  <c r="BK6" i="2"/>
  <c r="BL6" i="2"/>
  <c r="BM6" i="2"/>
  <c r="BN6" i="2"/>
  <c r="BO6" i="2"/>
  <c r="BP6" i="2"/>
  <c r="BQ6" i="2"/>
  <c r="BR6" i="2"/>
  <c r="BS6" i="2"/>
  <c r="BT6" i="2"/>
  <c r="BU6" i="2"/>
  <c r="BV6" i="2"/>
  <c r="BW6" i="2"/>
  <c r="BX6" i="2"/>
  <c r="BY6" i="2"/>
  <c r="BZ6" i="2"/>
  <c r="CA6" i="2"/>
  <c r="CB6" i="2"/>
  <c r="CC6" i="2"/>
  <c r="CD6" i="2"/>
  <c r="CE6" i="2"/>
  <c r="CF6" i="2"/>
  <c r="CG6" i="2"/>
  <c r="CH6" i="2"/>
  <c r="CI6" i="2"/>
  <c r="CJ6" i="2"/>
  <c r="CK6" i="2"/>
  <c r="CL6" i="2"/>
  <c r="CM6" i="2"/>
  <c r="CN6" i="2"/>
  <c r="CO6" i="2"/>
  <c r="CP6" i="2"/>
  <c r="CQ6" i="2"/>
  <c r="CR6" i="2"/>
  <c r="CS6" i="2"/>
  <c r="CT6" i="2"/>
  <c r="CU6" i="2"/>
  <c r="CV6" i="2"/>
  <c r="T7" i="2"/>
  <c r="U7" i="2"/>
  <c r="V7" i="2"/>
  <c r="W7" i="2"/>
  <c r="X7" i="2"/>
  <c r="Y7" i="2"/>
  <c r="Z7" i="2"/>
  <c r="AA7" i="2"/>
  <c r="AB7" i="2"/>
  <c r="AC7" i="2"/>
  <c r="AD7" i="2"/>
  <c r="AE7" i="2"/>
  <c r="AF7" i="2"/>
  <c r="AG7" i="2"/>
  <c r="AH7" i="2"/>
  <c r="AI7" i="2"/>
  <c r="AJ7" i="2"/>
  <c r="AK7" i="2"/>
  <c r="AL7" i="2"/>
  <c r="AM7" i="2"/>
  <c r="AN7" i="2"/>
  <c r="AO7" i="2"/>
  <c r="AP7" i="2"/>
  <c r="AQ7" i="2"/>
  <c r="AR7" i="2"/>
  <c r="AS7" i="2"/>
  <c r="AT7" i="2"/>
  <c r="AU7" i="2"/>
  <c r="AV7" i="2"/>
  <c r="AW7" i="2"/>
  <c r="AX7" i="2"/>
  <c r="AY7" i="2"/>
  <c r="AZ7" i="2"/>
  <c r="BA7" i="2"/>
  <c r="BB7" i="2"/>
  <c r="BC7" i="2"/>
  <c r="BD7" i="2"/>
  <c r="BE7" i="2"/>
  <c r="BF7" i="2"/>
  <c r="BG7" i="2"/>
  <c r="BH7" i="2"/>
  <c r="BI7" i="2"/>
  <c r="BJ7" i="2"/>
  <c r="BK7" i="2"/>
  <c r="BL7" i="2"/>
  <c r="BM7" i="2"/>
  <c r="BN7" i="2"/>
  <c r="BO7" i="2"/>
  <c r="BP7" i="2"/>
  <c r="BQ7" i="2"/>
  <c r="BR7" i="2"/>
  <c r="BS7" i="2"/>
  <c r="BT7" i="2"/>
  <c r="BU7" i="2"/>
  <c r="BV7" i="2"/>
  <c r="BW7" i="2"/>
  <c r="BX7" i="2"/>
  <c r="BY7" i="2"/>
  <c r="BZ7" i="2"/>
  <c r="CA7" i="2"/>
  <c r="CB7" i="2"/>
  <c r="CC7" i="2"/>
  <c r="CD7" i="2"/>
  <c r="CE7" i="2"/>
  <c r="CF7" i="2"/>
  <c r="CG7" i="2"/>
  <c r="CH7" i="2"/>
  <c r="CI7" i="2"/>
  <c r="CJ7" i="2"/>
  <c r="CK7" i="2"/>
  <c r="CL7" i="2"/>
  <c r="CM7" i="2"/>
  <c r="CN7" i="2"/>
  <c r="CO7" i="2"/>
  <c r="CP7" i="2"/>
  <c r="CQ7" i="2"/>
  <c r="CR7" i="2"/>
  <c r="CS7" i="2"/>
  <c r="CT7" i="2"/>
  <c r="CU7" i="2"/>
  <c r="CV7" i="2"/>
  <c r="T8" i="2"/>
  <c r="U8" i="2"/>
  <c r="V8" i="2"/>
  <c r="W8" i="2"/>
  <c r="X8" i="2"/>
  <c r="Y8" i="2"/>
  <c r="Z8" i="2"/>
  <c r="AA8" i="2"/>
  <c r="AB8" i="2"/>
  <c r="AC8" i="2"/>
  <c r="AD8" i="2"/>
  <c r="AE8" i="2"/>
  <c r="AF8" i="2"/>
  <c r="AG8" i="2"/>
  <c r="AH8" i="2"/>
  <c r="AI8" i="2"/>
  <c r="AJ8" i="2"/>
  <c r="AK8" i="2"/>
  <c r="AL8" i="2"/>
  <c r="AM8" i="2"/>
  <c r="AN8" i="2"/>
  <c r="AO8" i="2"/>
  <c r="AP8" i="2"/>
  <c r="AQ8" i="2"/>
  <c r="AR8" i="2"/>
  <c r="AS8" i="2"/>
  <c r="AT8" i="2"/>
  <c r="AU8" i="2"/>
  <c r="AV8" i="2"/>
  <c r="AW8" i="2"/>
  <c r="AX8" i="2"/>
  <c r="AY8" i="2"/>
  <c r="AZ8" i="2"/>
  <c r="BA8" i="2"/>
  <c r="BB8" i="2"/>
  <c r="BC8" i="2"/>
  <c r="BD8" i="2"/>
  <c r="BE8" i="2"/>
  <c r="BF8" i="2"/>
  <c r="BG8" i="2"/>
  <c r="BH8" i="2"/>
  <c r="BI8" i="2"/>
  <c r="BJ8" i="2"/>
  <c r="BK8" i="2"/>
  <c r="BL8" i="2"/>
  <c r="BM8" i="2"/>
  <c r="BN8" i="2"/>
  <c r="BO8" i="2"/>
  <c r="BP8" i="2"/>
  <c r="BQ8" i="2"/>
  <c r="BR8" i="2"/>
  <c r="BS8" i="2"/>
  <c r="BT8" i="2"/>
  <c r="BU8" i="2"/>
  <c r="BV8" i="2"/>
  <c r="BW8" i="2"/>
  <c r="BX8" i="2"/>
  <c r="BY8" i="2"/>
  <c r="BZ8" i="2"/>
  <c r="CA8" i="2"/>
  <c r="CB8" i="2"/>
  <c r="CC8" i="2"/>
  <c r="CD8" i="2"/>
  <c r="CE8" i="2"/>
  <c r="CF8" i="2"/>
  <c r="CG8" i="2"/>
  <c r="CH8" i="2"/>
  <c r="CI8" i="2"/>
  <c r="CJ8" i="2"/>
  <c r="CK8" i="2"/>
  <c r="CL8" i="2"/>
  <c r="CM8" i="2"/>
  <c r="CN8" i="2"/>
  <c r="CO8" i="2"/>
  <c r="CP8" i="2"/>
  <c r="CQ8" i="2"/>
  <c r="CR8" i="2"/>
  <c r="CS8" i="2"/>
  <c r="CT8" i="2"/>
  <c r="CU8" i="2"/>
  <c r="CV8" i="2"/>
  <c r="T9" i="2"/>
  <c r="U9" i="2"/>
  <c r="V9" i="2"/>
  <c r="W9" i="2"/>
  <c r="X9" i="2"/>
  <c r="Y9" i="2"/>
  <c r="Z9" i="2"/>
  <c r="AA9" i="2"/>
  <c r="AB9" i="2"/>
  <c r="AC9" i="2"/>
  <c r="AD9" i="2"/>
  <c r="AE9" i="2"/>
  <c r="AF9" i="2"/>
  <c r="AG9" i="2"/>
  <c r="AH9" i="2"/>
  <c r="AI9" i="2"/>
  <c r="AJ9" i="2"/>
  <c r="AK9" i="2"/>
  <c r="AL9" i="2"/>
  <c r="AM9" i="2"/>
  <c r="AN9" i="2"/>
  <c r="AO9" i="2"/>
  <c r="AP9" i="2"/>
  <c r="AQ9" i="2"/>
  <c r="AR9" i="2"/>
  <c r="AS9" i="2"/>
  <c r="AT9" i="2"/>
  <c r="AU9" i="2"/>
  <c r="AV9" i="2"/>
  <c r="AW9" i="2"/>
  <c r="AX9" i="2"/>
  <c r="AY9" i="2"/>
  <c r="AZ9" i="2"/>
  <c r="BA9" i="2"/>
  <c r="BB9" i="2"/>
  <c r="BC9" i="2"/>
  <c r="BD9" i="2"/>
  <c r="BE9" i="2"/>
  <c r="BF9" i="2"/>
  <c r="BG9" i="2"/>
  <c r="BH9" i="2"/>
  <c r="BI9" i="2"/>
  <c r="BJ9" i="2"/>
  <c r="BK9" i="2"/>
  <c r="BL9" i="2"/>
  <c r="BM9" i="2"/>
  <c r="BN9" i="2"/>
  <c r="BO9" i="2"/>
  <c r="BP9" i="2"/>
  <c r="BQ9" i="2"/>
  <c r="BR9" i="2"/>
  <c r="BS9" i="2"/>
  <c r="BT9" i="2"/>
  <c r="BU9" i="2"/>
  <c r="BV9" i="2"/>
  <c r="BW9" i="2"/>
  <c r="BX9" i="2"/>
  <c r="BY9" i="2"/>
  <c r="BZ9" i="2"/>
  <c r="CA9" i="2"/>
  <c r="CB9" i="2"/>
  <c r="CC9" i="2"/>
  <c r="CD9" i="2"/>
  <c r="CE9" i="2"/>
  <c r="CF9" i="2"/>
  <c r="CG9" i="2"/>
  <c r="CH9" i="2"/>
  <c r="CI9" i="2"/>
  <c r="CJ9" i="2"/>
  <c r="CK9" i="2"/>
  <c r="CL9" i="2"/>
  <c r="CM9" i="2"/>
  <c r="CN9" i="2"/>
  <c r="CO9" i="2"/>
  <c r="CP9" i="2"/>
  <c r="CQ9" i="2"/>
  <c r="CR9" i="2"/>
  <c r="CS9" i="2"/>
  <c r="CT9" i="2"/>
  <c r="CU9" i="2"/>
  <c r="CV9" i="2"/>
  <c r="T10" i="2"/>
  <c r="U10" i="2"/>
  <c r="V10" i="2"/>
  <c r="W10" i="2"/>
  <c r="X10" i="2"/>
  <c r="Y10" i="2"/>
  <c r="Z10" i="2"/>
  <c r="AA10" i="2"/>
  <c r="AB10" i="2"/>
  <c r="AC10" i="2"/>
  <c r="AD10" i="2"/>
  <c r="AE10" i="2"/>
  <c r="AF10" i="2"/>
  <c r="AG10" i="2"/>
  <c r="AH10" i="2"/>
  <c r="AI10" i="2"/>
  <c r="AJ10" i="2"/>
  <c r="AK10" i="2"/>
  <c r="AL10" i="2"/>
  <c r="AM10" i="2"/>
  <c r="AN10" i="2"/>
  <c r="AO10" i="2"/>
  <c r="AP10" i="2"/>
  <c r="AQ10" i="2"/>
  <c r="AR10" i="2"/>
  <c r="AS10" i="2"/>
  <c r="AT10" i="2"/>
  <c r="AU10" i="2"/>
  <c r="AV10" i="2"/>
  <c r="AW10" i="2"/>
  <c r="AX10" i="2"/>
  <c r="AY10" i="2"/>
  <c r="AZ10" i="2"/>
  <c r="BA10" i="2"/>
  <c r="BB10" i="2"/>
  <c r="BC10" i="2"/>
  <c r="BD10" i="2"/>
  <c r="BE10" i="2"/>
  <c r="BF10" i="2"/>
  <c r="BG10" i="2"/>
  <c r="BH10" i="2"/>
  <c r="BI10" i="2"/>
  <c r="BJ10" i="2"/>
  <c r="BK10" i="2"/>
  <c r="BL10" i="2"/>
  <c r="BM10" i="2"/>
  <c r="BN10" i="2"/>
  <c r="BO10" i="2"/>
  <c r="BP10" i="2"/>
  <c r="BQ10" i="2"/>
  <c r="BR10" i="2"/>
  <c r="BS10" i="2"/>
  <c r="BT10" i="2"/>
  <c r="BU10" i="2"/>
  <c r="BV10" i="2"/>
  <c r="BW10" i="2"/>
  <c r="BX10" i="2"/>
  <c r="BY10" i="2"/>
  <c r="BZ10" i="2"/>
  <c r="CA10" i="2"/>
  <c r="CB10" i="2"/>
  <c r="CC10" i="2"/>
  <c r="CD10" i="2"/>
  <c r="CE10" i="2"/>
  <c r="CF10" i="2"/>
  <c r="CG10" i="2"/>
  <c r="CH10" i="2"/>
  <c r="CI10" i="2"/>
  <c r="CJ10" i="2"/>
  <c r="CK10" i="2"/>
  <c r="CL10" i="2"/>
  <c r="CM10" i="2"/>
  <c r="CN10" i="2"/>
  <c r="CO10" i="2"/>
  <c r="CP10" i="2"/>
  <c r="CQ10" i="2"/>
  <c r="CR10" i="2"/>
  <c r="CS10" i="2"/>
  <c r="CT10" i="2"/>
  <c r="CU10" i="2"/>
  <c r="CV10" i="2"/>
  <c r="T11" i="2"/>
  <c r="U11" i="2"/>
  <c r="V11" i="2"/>
  <c r="W11" i="2"/>
  <c r="X11" i="2"/>
  <c r="Y11" i="2"/>
  <c r="Z11" i="2"/>
  <c r="AA11" i="2"/>
  <c r="AB11" i="2"/>
  <c r="AC11" i="2"/>
  <c r="AD11" i="2"/>
  <c r="AE11" i="2"/>
  <c r="AF11" i="2"/>
  <c r="AG11" i="2"/>
  <c r="AH11" i="2"/>
  <c r="AI11" i="2"/>
  <c r="AJ11" i="2"/>
  <c r="AK11" i="2"/>
  <c r="AL11" i="2"/>
  <c r="AM11" i="2"/>
  <c r="AN11" i="2"/>
  <c r="AO11" i="2"/>
  <c r="AP11" i="2"/>
  <c r="AQ11" i="2"/>
  <c r="AR11" i="2"/>
  <c r="AS11" i="2"/>
  <c r="AT11" i="2"/>
  <c r="AU11" i="2"/>
  <c r="AV11" i="2"/>
  <c r="AW11" i="2"/>
  <c r="AX11" i="2"/>
  <c r="AY11" i="2"/>
  <c r="AZ11" i="2"/>
  <c r="BA11" i="2"/>
  <c r="BB11" i="2"/>
  <c r="BC11" i="2"/>
  <c r="BD11" i="2"/>
  <c r="BE11" i="2"/>
  <c r="BF11" i="2"/>
  <c r="BG11" i="2"/>
  <c r="BH11" i="2"/>
  <c r="BI11" i="2"/>
  <c r="BJ11" i="2"/>
  <c r="BK11" i="2"/>
  <c r="BL11" i="2"/>
  <c r="BM11" i="2"/>
  <c r="BN11" i="2"/>
  <c r="BO11" i="2"/>
  <c r="BP11" i="2"/>
  <c r="BQ11" i="2"/>
  <c r="BR11" i="2"/>
  <c r="BS11" i="2"/>
  <c r="BT11" i="2"/>
  <c r="BU11" i="2"/>
  <c r="BV11" i="2"/>
  <c r="BW11" i="2"/>
  <c r="BX11" i="2"/>
  <c r="BY11" i="2"/>
  <c r="BZ11" i="2"/>
  <c r="CA11" i="2"/>
  <c r="CB11" i="2"/>
  <c r="CC11" i="2"/>
  <c r="CD11" i="2"/>
  <c r="CE11" i="2"/>
  <c r="CF11" i="2"/>
  <c r="CG11" i="2"/>
  <c r="CH11" i="2"/>
  <c r="CI11" i="2"/>
  <c r="CJ11" i="2"/>
  <c r="CK11" i="2"/>
  <c r="CL11" i="2"/>
  <c r="CM11" i="2"/>
  <c r="CN11" i="2"/>
  <c r="CO11" i="2"/>
  <c r="CP11" i="2"/>
  <c r="CQ11" i="2"/>
  <c r="CR11" i="2"/>
  <c r="CS11" i="2"/>
  <c r="CT11" i="2"/>
  <c r="CU11" i="2"/>
  <c r="CV11" i="2"/>
  <c r="T12" i="2"/>
  <c r="U12" i="2"/>
  <c r="V12" i="2"/>
  <c r="W12" i="2"/>
  <c r="X12" i="2"/>
  <c r="Y12" i="2"/>
  <c r="Z12" i="2"/>
  <c r="AA12" i="2"/>
  <c r="AB12" i="2"/>
  <c r="AC12" i="2"/>
  <c r="AD12" i="2"/>
  <c r="AE12" i="2"/>
  <c r="AF12" i="2"/>
  <c r="AG12" i="2"/>
  <c r="AH12" i="2"/>
  <c r="AI12" i="2"/>
  <c r="AJ12" i="2"/>
  <c r="AK12" i="2"/>
  <c r="AL12" i="2"/>
  <c r="AM12" i="2"/>
  <c r="AN12" i="2"/>
  <c r="AO12" i="2"/>
  <c r="AP12" i="2"/>
  <c r="AQ12" i="2"/>
  <c r="AR12" i="2"/>
  <c r="AS12" i="2"/>
  <c r="AT12" i="2"/>
  <c r="AU12" i="2"/>
  <c r="AV12" i="2"/>
  <c r="AW12" i="2"/>
  <c r="AX12" i="2"/>
  <c r="AY12" i="2"/>
  <c r="AZ12" i="2"/>
  <c r="BA12" i="2"/>
  <c r="BB12" i="2"/>
  <c r="BC12" i="2"/>
  <c r="BD12" i="2"/>
  <c r="BE12" i="2"/>
  <c r="BF12" i="2"/>
  <c r="BG12" i="2"/>
  <c r="BH12" i="2"/>
  <c r="BI12" i="2"/>
  <c r="BJ12" i="2"/>
  <c r="BK12" i="2"/>
  <c r="BL12" i="2"/>
  <c r="BM12" i="2"/>
  <c r="BN12" i="2"/>
  <c r="BO12" i="2"/>
  <c r="BP12" i="2"/>
  <c r="BQ12" i="2"/>
  <c r="BR12" i="2"/>
  <c r="BS12" i="2"/>
  <c r="BT12" i="2"/>
  <c r="BU12" i="2"/>
  <c r="BV12" i="2"/>
  <c r="BW12" i="2"/>
  <c r="BX12" i="2"/>
  <c r="BY12" i="2"/>
  <c r="BZ12" i="2"/>
  <c r="CA12" i="2"/>
  <c r="CB12" i="2"/>
  <c r="CC12" i="2"/>
  <c r="CD12" i="2"/>
  <c r="CE12" i="2"/>
  <c r="CF12" i="2"/>
  <c r="CG12" i="2"/>
  <c r="CH12" i="2"/>
  <c r="CI12" i="2"/>
  <c r="CJ12" i="2"/>
  <c r="CK12" i="2"/>
  <c r="CL12" i="2"/>
  <c r="CM12" i="2"/>
  <c r="CN12" i="2"/>
  <c r="CO12" i="2"/>
  <c r="CP12" i="2"/>
  <c r="CQ12" i="2"/>
  <c r="CR12" i="2"/>
  <c r="CS12" i="2"/>
  <c r="CT12" i="2"/>
  <c r="CU12" i="2"/>
  <c r="CV12" i="2"/>
  <c r="T13" i="2"/>
  <c r="U13" i="2"/>
  <c r="V13" i="2"/>
  <c r="W13" i="2"/>
  <c r="X13" i="2"/>
  <c r="Y13" i="2"/>
  <c r="Z13" i="2"/>
  <c r="AA13" i="2"/>
  <c r="AB13" i="2"/>
  <c r="AC13" i="2"/>
  <c r="AD13" i="2"/>
  <c r="AE13" i="2"/>
  <c r="AF13" i="2"/>
  <c r="AG13" i="2"/>
  <c r="AH13" i="2"/>
  <c r="AI13" i="2"/>
  <c r="AJ13" i="2"/>
  <c r="AK13" i="2"/>
  <c r="AL13" i="2"/>
  <c r="AM13" i="2"/>
  <c r="AN13" i="2"/>
  <c r="AO13" i="2"/>
  <c r="AP13" i="2"/>
  <c r="AQ13" i="2"/>
  <c r="AR13" i="2"/>
  <c r="AS13" i="2"/>
  <c r="AT13" i="2"/>
  <c r="AU13" i="2"/>
  <c r="AV13" i="2"/>
  <c r="AW13" i="2"/>
  <c r="AX13" i="2"/>
  <c r="AY13" i="2"/>
  <c r="AZ13" i="2"/>
  <c r="BA13" i="2"/>
  <c r="BB13" i="2"/>
  <c r="BC13" i="2"/>
  <c r="BD13" i="2"/>
  <c r="BE13" i="2"/>
  <c r="BF13" i="2"/>
  <c r="BG13" i="2"/>
  <c r="BH13" i="2"/>
  <c r="BI13" i="2"/>
  <c r="BJ13" i="2"/>
  <c r="BK13" i="2"/>
  <c r="BL13" i="2"/>
  <c r="BM13" i="2"/>
  <c r="BN13" i="2"/>
  <c r="BO13" i="2"/>
  <c r="BP13" i="2"/>
  <c r="BQ13" i="2"/>
  <c r="BR13" i="2"/>
  <c r="BS13" i="2"/>
  <c r="BT13" i="2"/>
  <c r="BU13" i="2"/>
  <c r="BV13" i="2"/>
  <c r="BW13" i="2"/>
  <c r="BX13" i="2"/>
  <c r="BY13" i="2"/>
  <c r="BZ13" i="2"/>
  <c r="CA13" i="2"/>
  <c r="CB13" i="2"/>
  <c r="CC13" i="2"/>
  <c r="CD13" i="2"/>
  <c r="CE13" i="2"/>
  <c r="CF13" i="2"/>
  <c r="CG13" i="2"/>
  <c r="CH13" i="2"/>
  <c r="CI13" i="2"/>
  <c r="CJ13" i="2"/>
  <c r="CK13" i="2"/>
  <c r="CL13" i="2"/>
  <c r="CM13" i="2"/>
  <c r="CN13" i="2"/>
  <c r="CO13" i="2"/>
  <c r="CP13" i="2"/>
  <c r="CQ13" i="2"/>
  <c r="CR13" i="2"/>
  <c r="CS13" i="2"/>
  <c r="CT13" i="2"/>
  <c r="CU13" i="2"/>
  <c r="CV13" i="2"/>
  <c r="T14" i="2"/>
  <c r="U14" i="2"/>
  <c r="V14" i="2"/>
  <c r="W14" i="2"/>
  <c r="X14" i="2"/>
  <c r="Y14" i="2"/>
  <c r="Z14" i="2"/>
  <c r="AA14" i="2"/>
  <c r="AB14" i="2"/>
  <c r="AC14" i="2"/>
  <c r="AD14" i="2"/>
  <c r="AE14" i="2"/>
  <c r="AF14" i="2"/>
  <c r="AG14" i="2"/>
  <c r="AH14" i="2"/>
  <c r="AI14" i="2"/>
  <c r="AJ14" i="2"/>
  <c r="AK14" i="2"/>
  <c r="AL14" i="2"/>
  <c r="AM14" i="2"/>
  <c r="AN14" i="2"/>
  <c r="AO14" i="2"/>
  <c r="AP14" i="2"/>
  <c r="AQ14" i="2"/>
  <c r="AR14" i="2"/>
  <c r="AS14" i="2"/>
  <c r="AT14" i="2"/>
  <c r="AU14" i="2"/>
  <c r="AV14" i="2"/>
  <c r="AW14" i="2"/>
  <c r="AX14" i="2"/>
  <c r="AY14" i="2"/>
  <c r="AZ14" i="2"/>
  <c r="BA14" i="2"/>
  <c r="BB14" i="2"/>
  <c r="BC14" i="2"/>
  <c r="BD14" i="2"/>
  <c r="BE14" i="2"/>
  <c r="BF14" i="2"/>
  <c r="BG14" i="2"/>
  <c r="BH14" i="2"/>
  <c r="BI14" i="2"/>
  <c r="BJ14" i="2"/>
  <c r="BK14" i="2"/>
  <c r="BL14" i="2"/>
  <c r="BM14" i="2"/>
  <c r="BN14" i="2"/>
  <c r="BO14" i="2"/>
  <c r="BP14" i="2"/>
  <c r="BQ14" i="2"/>
  <c r="BR14" i="2"/>
  <c r="BS14" i="2"/>
  <c r="BT14" i="2"/>
  <c r="BU14" i="2"/>
  <c r="BV14" i="2"/>
  <c r="BW14" i="2"/>
  <c r="BX14" i="2"/>
  <c r="BY14" i="2"/>
  <c r="BZ14" i="2"/>
  <c r="CA14" i="2"/>
  <c r="CB14" i="2"/>
  <c r="CC14" i="2"/>
  <c r="CD14" i="2"/>
  <c r="CE14" i="2"/>
  <c r="CF14" i="2"/>
  <c r="CG14" i="2"/>
  <c r="CH14" i="2"/>
  <c r="CI14" i="2"/>
  <c r="CJ14" i="2"/>
  <c r="CK14" i="2"/>
  <c r="CL14" i="2"/>
  <c r="CM14" i="2"/>
  <c r="CN14" i="2"/>
  <c r="CO14" i="2"/>
  <c r="CP14" i="2"/>
  <c r="CQ14" i="2"/>
  <c r="CR14" i="2"/>
  <c r="CS14" i="2"/>
  <c r="CT14" i="2"/>
  <c r="CU14" i="2"/>
  <c r="CV14" i="2"/>
  <c r="T15" i="2"/>
  <c r="U15" i="2"/>
  <c r="V15" i="2"/>
  <c r="W15" i="2"/>
  <c r="X15" i="2"/>
  <c r="Y15" i="2"/>
  <c r="Z15" i="2"/>
  <c r="AA15" i="2"/>
  <c r="AB15" i="2"/>
  <c r="AC15" i="2"/>
  <c r="AD15" i="2"/>
  <c r="AE15" i="2"/>
  <c r="AF15" i="2"/>
  <c r="AG15" i="2"/>
  <c r="AH15" i="2"/>
  <c r="AI15" i="2"/>
  <c r="AJ15" i="2"/>
  <c r="AK15" i="2"/>
  <c r="AL15" i="2"/>
  <c r="AM15" i="2"/>
  <c r="AN15" i="2"/>
  <c r="AO15" i="2"/>
  <c r="AP15" i="2"/>
  <c r="AQ15" i="2"/>
  <c r="AR15" i="2"/>
  <c r="AS15" i="2"/>
  <c r="AT15" i="2"/>
  <c r="AU15" i="2"/>
  <c r="AV15" i="2"/>
  <c r="AW15" i="2"/>
  <c r="AX15" i="2"/>
  <c r="AY15" i="2"/>
  <c r="AZ15" i="2"/>
  <c r="BA15" i="2"/>
  <c r="BB15" i="2"/>
  <c r="BC15" i="2"/>
  <c r="BD15" i="2"/>
  <c r="BE15" i="2"/>
  <c r="BF15" i="2"/>
  <c r="BG15" i="2"/>
  <c r="BH15" i="2"/>
  <c r="BI15" i="2"/>
  <c r="BJ15" i="2"/>
  <c r="BK15" i="2"/>
  <c r="BL15" i="2"/>
  <c r="BM15" i="2"/>
  <c r="BN15" i="2"/>
  <c r="BO15" i="2"/>
  <c r="BP15" i="2"/>
  <c r="BQ15" i="2"/>
  <c r="BR15" i="2"/>
  <c r="BS15" i="2"/>
  <c r="BT15" i="2"/>
  <c r="BU15" i="2"/>
  <c r="BV15" i="2"/>
  <c r="BW15" i="2"/>
  <c r="BX15" i="2"/>
  <c r="BY15" i="2"/>
  <c r="BZ15" i="2"/>
  <c r="CA15" i="2"/>
  <c r="CB15" i="2"/>
  <c r="CC15" i="2"/>
  <c r="CD15" i="2"/>
  <c r="CE15" i="2"/>
  <c r="CF15" i="2"/>
  <c r="CG15" i="2"/>
  <c r="CH15" i="2"/>
  <c r="CI15" i="2"/>
  <c r="CJ15" i="2"/>
  <c r="CK15" i="2"/>
  <c r="CL15" i="2"/>
  <c r="CM15" i="2"/>
  <c r="CN15" i="2"/>
  <c r="CO15" i="2"/>
  <c r="CP15" i="2"/>
  <c r="CQ15" i="2"/>
  <c r="CR15" i="2"/>
  <c r="CS15" i="2"/>
  <c r="CT15" i="2"/>
  <c r="CU15" i="2"/>
  <c r="CV15" i="2"/>
  <c r="T16" i="2"/>
  <c r="U16" i="2"/>
  <c r="V16" i="2"/>
  <c r="W16" i="2"/>
  <c r="X16" i="2"/>
  <c r="Y16" i="2"/>
  <c r="Z16" i="2"/>
  <c r="AA16" i="2"/>
  <c r="AB16" i="2"/>
  <c r="AC16" i="2"/>
  <c r="AD16" i="2"/>
  <c r="AE16" i="2"/>
  <c r="AF16" i="2"/>
  <c r="AG16" i="2"/>
  <c r="AH16" i="2"/>
  <c r="AI16" i="2"/>
  <c r="AJ16" i="2"/>
  <c r="AK16" i="2"/>
  <c r="AL16" i="2"/>
  <c r="AM16" i="2"/>
  <c r="AN16" i="2"/>
  <c r="AO16" i="2"/>
  <c r="AP16" i="2"/>
  <c r="AQ16" i="2"/>
  <c r="AR16" i="2"/>
  <c r="AS16" i="2"/>
  <c r="AT16" i="2"/>
  <c r="AU16" i="2"/>
  <c r="AV16" i="2"/>
  <c r="AW16" i="2"/>
  <c r="AX16" i="2"/>
  <c r="AY16" i="2"/>
  <c r="AZ16" i="2"/>
  <c r="BA16" i="2"/>
  <c r="BB16" i="2"/>
  <c r="BC16" i="2"/>
  <c r="BD16" i="2"/>
  <c r="BE16" i="2"/>
  <c r="BF16" i="2"/>
  <c r="BG16" i="2"/>
  <c r="BH16" i="2"/>
  <c r="BI16" i="2"/>
  <c r="BJ16" i="2"/>
  <c r="BK16" i="2"/>
  <c r="BL16" i="2"/>
  <c r="BM16" i="2"/>
  <c r="BN16" i="2"/>
  <c r="BO16" i="2"/>
  <c r="BP16" i="2"/>
  <c r="BQ16" i="2"/>
  <c r="BR16" i="2"/>
  <c r="BS16" i="2"/>
  <c r="BT16" i="2"/>
  <c r="BU16" i="2"/>
  <c r="BV16" i="2"/>
  <c r="BW16" i="2"/>
  <c r="BX16" i="2"/>
  <c r="BY16" i="2"/>
  <c r="BZ16" i="2"/>
  <c r="CA16" i="2"/>
  <c r="CB16" i="2"/>
  <c r="CC16" i="2"/>
  <c r="CD16" i="2"/>
  <c r="CE16" i="2"/>
  <c r="CF16" i="2"/>
  <c r="CG16" i="2"/>
  <c r="CH16" i="2"/>
  <c r="CI16" i="2"/>
  <c r="CJ16" i="2"/>
  <c r="CK16" i="2"/>
  <c r="CL16" i="2"/>
  <c r="CM16" i="2"/>
  <c r="CN16" i="2"/>
  <c r="CO16" i="2"/>
  <c r="CP16" i="2"/>
  <c r="CQ16" i="2"/>
  <c r="CR16" i="2"/>
  <c r="CS16" i="2"/>
  <c r="CT16" i="2"/>
  <c r="CU16" i="2"/>
  <c r="CV16" i="2"/>
  <c r="T17" i="2"/>
  <c r="U17" i="2"/>
  <c r="V17" i="2"/>
  <c r="W17" i="2"/>
  <c r="X17" i="2"/>
  <c r="Y17" i="2"/>
  <c r="Z17" i="2"/>
  <c r="AA17" i="2"/>
  <c r="AB17" i="2"/>
  <c r="AC17" i="2"/>
  <c r="AD17" i="2"/>
  <c r="AE17" i="2"/>
  <c r="AF17" i="2"/>
  <c r="AG17" i="2"/>
  <c r="AH17" i="2"/>
  <c r="AI17" i="2"/>
  <c r="AJ17" i="2"/>
  <c r="AK17" i="2"/>
  <c r="AL17" i="2"/>
  <c r="AM17" i="2"/>
  <c r="AN17" i="2"/>
  <c r="AO17" i="2"/>
  <c r="AP17" i="2"/>
  <c r="AQ17" i="2"/>
  <c r="AR17" i="2"/>
  <c r="AS17" i="2"/>
  <c r="AT17" i="2"/>
  <c r="AU17" i="2"/>
  <c r="AV17" i="2"/>
  <c r="AW17" i="2"/>
  <c r="AX17" i="2"/>
  <c r="AY17" i="2"/>
  <c r="AZ17" i="2"/>
  <c r="BA17" i="2"/>
  <c r="BB17" i="2"/>
  <c r="BC17" i="2"/>
  <c r="BD17" i="2"/>
  <c r="BE17" i="2"/>
  <c r="BF17" i="2"/>
  <c r="BG17" i="2"/>
  <c r="BH17" i="2"/>
  <c r="BI17" i="2"/>
  <c r="BJ17" i="2"/>
  <c r="BK17" i="2"/>
  <c r="BL17" i="2"/>
  <c r="BM17" i="2"/>
  <c r="BN17" i="2"/>
  <c r="BO17" i="2"/>
  <c r="BP17" i="2"/>
  <c r="BQ17" i="2"/>
  <c r="BR17" i="2"/>
  <c r="BS17" i="2"/>
  <c r="BT17" i="2"/>
  <c r="BU17" i="2"/>
  <c r="BV17" i="2"/>
  <c r="BW17" i="2"/>
  <c r="BX17" i="2"/>
  <c r="BY17" i="2"/>
  <c r="BZ17" i="2"/>
  <c r="CA17" i="2"/>
  <c r="CB17" i="2"/>
  <c r="CC17" i="2"/>
  <c r="CD17" i="2"/>
  <c r="CE17" i="2"/>
  <c r="CF17" i="2"/>
  <c r="CG17" i="2"/>
  <c r="CH17" i="2"/>
  <c r="CI17" i="2"/>
  <c r="CJ17" i="2"/>
  <c r="CK17" i="2"/>
  <c r="CL17" i="2"/>
  <c r="CM17" i="2"/>
  <c r="CN17" i="2"/>
  <c r="CO17" i="2"/>
  <c r="CP17" i="2"/>
  <c r="CQ17" i="2"/>
  <c r="CR17" i="2"/>
  <c r="CS17" i="2"/>
  <c r="CT17" i="2"/>
  <c r="CU17" i="2"/>
  <c r="CV17" i="2"/>
  <c r="T18" i="2"/>
  <c r="U18" i="2"/>
  <c r="V18" i="2"/>
  <c r="W18" i="2"/>
  <c r="X18" i="2"/>
  <c r="Y18" i="2"/>
  <c r="Z18" i="2"/>
  <c r="AA18" i="2"/>
  <c r="AB18" i="2"/>
  <c r="AC18" i="2"/>
  <c r="AD18" i="2"/>
  <c r="AE18" i="2"/>
  <c r="AF18" i="2"/>
  <c r="AG18" i="2"/>
  <c r="AH18" i="2"/>
  <c r="AI18" i="2"/>
  <c r="AJ18" i="2"/>
  <c r="AK18" i="2"/>
  <c r="AL18" i="2"/>
  <c r="AM18" i="2"/>
  <c r="AN18" i="2"/>
  <c r="AO18" i="2"/>
  <c r="AP18" i="2"/>
  <c r="AQ18" i="2"/>
  <c r="AR18" i="2"/>
  <c r="AS18" i="2"/>
  <c r="AT18" i="2"/>
  <c r="AU18" i="2"/>
  <c r="AV18" i="2"/>
  <c r="AW18" i="2"/>
  <c r="AX18" i="2"/>
  <c r="AY18" i="2"/>
  <c r="AZ18" i="2"/>
  <c r="BA18" i="2"/>
  <c r="BB18" i="2"/>
  <c r="BC18" i="2"/>
  <c r="BD18" i="2"/>
  <c r="BE18" i="2"/>
  <c r="BF18" i="2"/>
  <c r="BG18" i="2"/>
  <c r="BH18" i="2"/>
  <c r="BI18" i="2"/>
  <c r="BJ18" i="2"/>
  <c r="BK18" i="2"/>
  <c r="BL18" i="2"/>
  <c r="BM18" i="2"/>
  <c r="BN18" i="2"/>
  <c r="BO18" i="2"/>
  <c r="BP18" i="2"/>
  <c r="BQ18" i="2"/>
  <c r="BR18" i="2"/>
  <c r="BS18" i="2"/>
  <c r="BT18" i="2"/>
  <c r="BU18" i="2"/>
  <c r="BV18" i="2"/>
  <c r="BW18" i="2"/>
  <c r="BX18" i="2"/>
  <c r="BY18" i="2"/>
  <c r="BZ18" i="2"/>
  <c r="CA18" i="2"/>
  <c r="CB18" i="2"/>
  <c r="CC18" i="2"/>
  <c r="CD18" i="2"/>
  <c r="CE18" i="2"/>
  <c r="CF18" i="2"/>
  <c r="CG18" i="2"/>
  <c r="CH18" i="2"/>
  <c r="CI18" i="2"/>
  <c r="CJ18" i="2"/>
  <c r="CK18" i="2"/>
  <c r="CL18" i="2"/>
  <c r="CM18" i="2"/>
  <c r="CN18" i="2"/>
  <c r="CO18" i="2"/>
  <c r="CP18" i="2"/>
  <c r="CQ18" i="2"/>
  <c r="CR18" i="2"/>
  <c r="CS18" i="2"/>
  <c r="CT18" i="2"/>
  <c r="CU18" i="2"/>
  <c r="CV18" i="2"/>
  <c r="T19" i="2"/>
  <c r="U19" i="2"/>
  <c r="V19" i="2"/>
  <c r="W19" i="2"/>
  <c r="X19" i="2"/>
  <c r="Y19" i="2"/>
  <c r="Z19" i="2"/>
  <c r="AA19" i="2"/>
  <c r="AB19" i="2"/>
  <c r="AC19" i="2"/>
  <c r="AD19" i="2"/>
  <c r="AE19" i="2"/>
  <c r="AF19" i="2"/>
  <c r="AG19" i="2"/>
  <c r="AH19" i="2"/>
  <c r="AI19" i="2"/>
  <c r="AJ19" i="2"/>
  <c r="AK19" i="2"/>
  <c r="AL19" i="2"/>
  <c r="AM19" i="2"/>
  <c r="AN19" i="2"/>
  <c r="AO19" i="2"/>
  <c r="AP19" i="2"/>
  <c r="AQ19" i="2"/>
  <c r="AR19" i="2"/>
  <c r="AS19" i="2"/>
  <c r="AT19" i="2"/>
  <c r="AU19" i="2"/>
  <c r="AV19" i="2"/>
  <c r="AW19" i="2"/>
  <c r="AX19" i="2"/>
  <c r="AY19" i="2"/>
  <c r="AZ19" i="2"/>
  <c r="BA19" i="2"/>
  <c r="BB19" i="2"/>
  <c r="BC19" i="2"/>
  <c r="BD19" i="2"/>
  <c r="BE19" i="2"/>
  <c r="BF19" i="2"/>
  <c r="BG19" i="2"/>
  <c r="BH19" i="2"/>
  <c r="BI19" i="2"/>
  <c r="BJ19" i="2"/>
  <c r="BK19" i="2"/>
  <c r="BL19" i="2"/>
  <c r="BM19" i="2"/>
  <c r="BN19" i="2"/>
  <c r="BO19" i="2"/>
  <c r="BP19" i="2"/>
  <c r="BQ19" i="2"/>
  <c r="BR19" i="2"/>
  <c r="BS19" i="2"/>
  <c r="BT19" i="2"/>
  <c r="BU19" i="2"/>
  <c r="BV19" i="2"/>
  <c r="BW19" i="2"/>
  <c r="BX19" i="2"/>
  <c r="BY19" i="2"/>
  <c r="BZ19" i="2"/>
  <c r="CA19" i="2"/>
  <c r="CB19" i="2"/>
  <c r="CC19" i="2"/>
  <c r="CD19" i="2"/>
  <c r="CE19" i="2"/>
  <c r="CF19" i="2"/>
  <c r="CG19" i="2"/>
  <c r="CH19" i="2"/>
  <c r="CI19" i="2"/>
  <c r="CJ19" i="2"/>
  <c r="CK19" i="2"/>
  <c r="CL19" i="2"/>
  <c r="CM19" i="2"/>
  <c r="CN19" i="2"/>
  <c r="CO19" i="2"/>
  <c r="CP19" i="2"/>
  <c r="CQ19" i="2"/>
  <c r="CR19" i="2"/>
  <c r="CS19" i="2"/>
  <c r="CT19" i="2"/>
  <c r="CU19" i="2"/>
  <c r="CV19" i="2"/>
  <c r="T20" i="2"/>
  <c r="U20" i="2"/>
  <c r="V20" i="2"/>
  <c r="W20" i="2"/>
  <c r="X20" i="2"/>
  <c r="Y20" i="2"/>
  <c r="Z20" i="2"/>
  <c r="AA20" i="2"/>
  <c r="AB20" i="2"/>
  <c r="AC20" i="2"/>
  <c r="AD20" i="2"/>
  <c r="AE20" i="2"/>
  <c r="AF20" i="2"/>
  <c r="AG20" i="2"/>
  <c r="AH20" i="2"/>
  <c r="AI20" i="2"/>
  <c r="AJ20" i="2"/>
  <c r="AK20" i="2"/>
  <c r="AL20" i="2"/>
  <c r="AM20" i="2"/>
  <c r="AN20" i="2"/>
  <c r="AO20" i="2"/>
  <c r="AP20" i="2"/>
  <c r="AQ20" i="2"/>
  <c r="AR20" i="2"/>
  <c r="AS20" i="2"/>
  <c r="AT20" i="2"/>
  <c r="AU20" i="2"/>
  <c r="AV20" i="2"/>
  <c r="AW20" i="2"/>
  <c r="AX20" i="2"/>
  <c r="AY20" i="2"/>
  <c r="AZ20" i="2"/>
  <c r="BA20" i="2"/>
  <c r="BB20" i="2"/>
  <c r="BC20" i="2"/>
  <c r="BD20" i="2"/>
  <c r="BE20" i="2"/>
  <c r="BF20" i="2"/>
  <c r="BG20" i="2"/>
  <c r="BH20" i="2"/>
  <c r="BI20" i="2"/>
  <c r="BJ20" i="2"/>
  <c r="BK20" i="2"/>
  <c r="BL20" i="2"/>
  <c r="BM20" i="2"/>
  <c r="BN20" i="2"/>
  <c r="BO20" i="2"/>
  <c r="BP20" i="2"/>
  <c r="BQ20" i="2"/>
  <c r="BR20" i="2"/>
  <c r="BS20" i="2"/>
  <c r="BT20" i="2"/>
  <c r="BU20" i="2"/>
  <c r="BV20" i="2"/>
  <c r="BW20" i="2"/>
  <c r="BX20" i="2"/>
  <c r="BY20" i="2"/>
  <c r="BZ20" i="2"/>
  <c r="CA20" i="2"/>
  <c r="CB20" i="2"/>
  <c r="CC20" i="2"/>
  <c r="CD20" i="2"/>
  <c r="CE20" i="2"/>
  <c r="CF20" i="2"/>
  <c r="CG20" i="2"/>
  <c r="CH20" i="2"/>
  <c r="CI20" i="2"/>
  <c r="CJ20" i="2"/>
  <c r="CK20" i="2"/>
  <c r="CL20" i="2"/>
  <c r="CM20" i="2"/>
  <c r="CN20" i="2"/>
  <c r="CO20" i="2"/>
  <c r="CP20" i="2"/>
  <c r="CQ20" i="2"/>
  <c r="CR20" i="2"/>
  <c r="CS20" i="2"/>
  <c r="CT20" i="2"/>
  <c r="CU20" i="2"/>
  <c r="CV20" i="2"/>
  <c r="T21" i="2"/>
  <c r="U21" i="2"/>
  <c r="V21" i="2"/>
  <c r="W21" i="2"/>
  <c r="X21" i="2"/>
  <c r="Y21" i="2"/>
  <c r="Z21" i="2"/>
  <c r="AA21" i="2"/>
  <c r="AB21" i="2"/>
  <c r="AC21" i="2"/>
  <c r="AD21" i="2"/>
  <c r="AE21" i="2"/>
  <c r="AF21" i="2"/>
  <c r="AG21" i="2"/>
  <c r="AH21" i="2"/>
  <c r="AI21" i="2"/>
  <c r="AJ21" i="2"/>
  <c r="AK21" i="2"/>
  <c r="AL21" i="2"/>
  <c r="AM21" i="2"/>
  <c r="AN21" i="2"/>
  <c r="AO21" i="2"/>
  <c r="AP21" i="2"/>
  <c r="AQ21" i="2"/>
  <c r="AR21" i="2"/>
  <c r="AS21" i="2"/>
  <c r="AT21" i="2"/>
  <c r="AU21" i="2"/>
  <c r="AV21" i="2"/>
  <c r="AW21" i="2"/>
  <c r="AX21" i="2"/>
  <c r="AY21" i="2"/>
  <c r="AZ21" i="2"/>
  <c r="BA21" i="2"/>
  <c r="BB21" i="2"/>
  <c r="BC21" i="2"/>
  <c r="BD21" i="2"/>
  <c r="BE21" i="2"/>
  <c r="BF21" i="2"/>
  <c r="BG21" i="2"/>
  <c r="BH21" i="2"/>
  <c r="BI21" i="2"/>
  <c r="BJ21" i="2"/>
  <c r="BK21" i="2"/>
  <c r="BL21" i="2"/>
  <c r="BM21" i="2"/>
  <c r="BN21" i="2"/>
  <c r="BO21" i="2"/>
  <c r="BP21" i="2"/>
  <c r="BQ21" i="2"/>
  <c r="BR21" i="2"/>
  <c r="BS21" i="2"/>
  <c r="BT21" i="2"/>
  <c r="BU21" i="2"/>
  <c r="BV21" i="2"/>
  <c r="BW21" i="2"/>
  <c r="BX21" i="2"/>
  <c r="BY21" i="2"/>
  <c r="BZ21" i="2"/>
  <c r="CA21" i="2"/>
  <c r="CB21" i="2"/>
  <c r="CC21" i="2"/>
  <c r="CD21" i="2"/>
  <c r="CE21" i="2"/>
  <c r="CF21" i="2"/>
  <c r="CG21" i="2"/>
  <c r="CH21" i="2"/>
  <c r="CI21" i="2"/>
  <c r="CJ21" i="2"/>
  <c r="CK21" i="2"/>
  <c r="CL21" i="2"/>
  <c r="CM21" i="2"/>
  <c r="CN21" i="2"/>
  <c r="CO21" i="2"/>
  <c r="CP21" i="2"/>
  <c r="CQ21" i="2"/>
  <c r="CR21" i="2"/>
  <c r="CS21" i="2"/>
  <c r="CT21" i="2"/>
  <c r="CU21" i="2"/>
  <c r="CV21" i="2"/>
  <c r="T22" i="2"/>
  <c r="U22" i="2"/>
  <c r="V22" i="2"/>
  <c r="W22" i="2"/>
  <c r="X22" i="2"/>
  <c r="Y22" i="2"/>
  <c r="Z22" i="2"/>
  <c r="AA22" i="2"/>
  <c r="AB22" i="2"/>
  <c r="AC22" i="2"/>
  <c r="AD22" i="2"/>
  <c r="AE22" i="2"/>
  <c r="AF22" i="2"/>
  <c r="AG22" i="2"/>
  <c r="AH22" i="2"/>
  <c r="AI22" i="2"/>
  <c r="AJ22" i="2"/>
  <c r="AK22" i="2"/>
  <c r="AL22" i="2"/>
  <c r="AM22" i="2"/>
  <c r="AN22" i="2"/>
  <c r="AO22" i="2"/>
  <c r="AP22" i="2"/>
  <c r="AQ22" i="2"/>
  <c r="AR22" i="2"/>
  <c r="AS22" i="2"/>
  <c r="AT22" i="2"/>
  <c r="AU22" i="2"/>
  <c r="AV22" i="2"/>
  <c r="AW22" i="2"/>
  <c r="AX22" i="2"/>
  <c r="AY22" i="2"/>
  <c r="AZ22" i="2"/>
  <c r="BA22" i="2"/>
  <c r="BB22" i="2"/>
  <c r="BC22" i="2"/>
  <c r="BD22" i="2"/>
  <c r="BE22" i="2"/>
  <c r="BF22" i="2"/>
  <c r="BG22" i="2"/>
  <c r="BH22" i="2"/>
  <c r="BI22" i="2"/>
  <c r="BJ22" i="2"/>
  <c r="BK22" i="2"/>
  <c r="BL22" i="2"/>
  <c r="BM22" i="2"/>
  <c r="BN22" i="2"/>
  <c r="BO22" i="2"/>
  <c r="BP22" i="2"/>
  <c r="BQ22" i="2"/>
  <c r="BR22" i="2"/>
  <c r="BS22" i="2"/>
  <c r="BT22" i="2"/>
  <c r="BU22" i="2"/>
  <c r="BV22" i="2"/>
  <c r="BW22" i="2"/>
  <c r="BX22" i="2"/>
  <c r="BY22" i="2"/>
  <c r="BZ22" i="2"/>
  <c r="CA22" i="2"/>
  <c r="CB22" i="2"/>
  <c r="CC22" i="2"/>
  <c r="CD22" i="2"/>
  <c r="CE22" i="2"/>
  <c r="CF22" i="2"/>
  <c r="CG22" i="2"/>
  <c r="CH22" i="2"/>
  <c r="CI22" i="2"/>
  <c r="CJ22" i="2"/>
  <c r="CK22" i="2"/>
  <c r="CL22" i="2"/>
  <c r="CM22" i="2"/>
  <c r="CN22" i="2"/>
  <c r="CO22" i="2"/>
  <c r="CP22" i="2"/>
  <c r="CQ22" i="2"/>
  <c r="CR22" i="2"/>
  <c r="CS22" i="2"/>
  <c r="CT22" i="2"/>
  <c r="CU22" i="2"/>
  <c r="CV22" i="2"/>
  <c r="T23" i="2"/>
  <c r="U23" i="2"/>
  <c r="V23" i="2"/>
  <c r="W23" i="2"/>
  <c r="X23" i="2"/>
  <c r="Y23" i="2"/>
  <c r="Z23" i="2"/>
  <c r="AA23" i="2"/>
  <c r="AB23" i="2"/>
  <c r="AC23" i="2"/>
  <c r="AD23" i="2"/>
  <c r="AE23" i="2"/>
  <c r="AF23" i="2"/>
  <c r="AG23" i="2"/>
  <c r="AH23" i="2"/>
  <c r="AI23" i="2"/>
  <c r="AJ23" i="2"/>
  <c r="AK23" i="2"/>
  <c r="AL23" i="2"/>
  <c r="AM23" i="2"/>
  <c r="AN23" i="2"/>
  <c r="AO23" i="2"/>
  <c r="AP23" i="2"/>
  <c r="AQ23" i="2"/>
  <c r="AR23" i="2"/>
  <c r="AS23" i="2"/>
  <c r="AT23" i="2"/>
  <c r="AU23" i="2"/>
  <c r="AV23" i="2"/>
  <c r="AW23" i="2"/>
  <c r="AX23" i="2"/>
  <c r="AY23" i="2"/>
  <c r="AZ23" i="2"/>
  <c r="BA23" i="2"/>
  <c r="BB23" i="2"/>
  <c r="BC23" i="2"/>
  <c r="BD23" i="2"/>
  <c r="BE23" i="2"/>
  <c r="BF23" i="2"/>
  <c r="BG23" i="2"/>
  <c r="BH23" i="2"/>
  <c r="BI23" i="2"/>
  <c r="BJ23" i="2"/>
  <c r="BK23" i="2"/>
  <c r="BL23" i="2"/>
  <c r="BM23" i="2"/>
  <c r="BN23" i="2"/>
  <c r="BO23" i="2"/>
  <c r="BP23" i="2"/>
  <c r="BQ23" i="2"/>
  <c r="BR23" i="2"/>
  <c r="BS23" i="2"/>
  <c r="BT23" i="2"/>
  <c r="BU23" i="2"/>
  <c r="BV23" i="2"/>
  <c r="BW23" i="2"/>
  <c r="BX23" i="2"/>
  <c r="BY23" i="2"/>
  <c r="BZ23" i="2"/>
  <c r="CA23" i="2"/>
  <c r="CB23" i="2"/>
  <c r="CC23" i="2"/>
  <c r="CD23" i="2"/>
  <c r="CE23" i="2"/>
  <c r="CF23" i="2"/>
  <c r="CG23" i="2"/>
  <c r="CH23" i="2"/>
  <c r="CI23" i="2"/>
  <c r="CJ23" i="2"/>
  <c r="CK23" i="2"/>
  <c r="CL23" i="2"/>
  <c r="CM23" i="2"/>
  <c r="CN23" i="2"/>
  <c r="CO23" i="2"/>
  <c r="CP23" i="2"/>
  <c r="CQ23" i="2"/>
  <c r="CR23" i="2"/>
  <c r="CS23" i="2"/>
  <c r="CT23" i="2"/>
  <c r="CU23" i="2"/>
  <c r="CV23" i="2"/>
  <c r="T24" i="2"/>
  <c r="U24" i="2"/>
  <c r="V24" i="2"/>
  <c r="W24" i="2"/>
  <c r="X24" i="2"/>
  <c r="Y24" i="2"/>
  <c r="Z24" i="2"/>
  <c r="AA24" i="2"/>
  <c r="AB24" i="2"/>
  <c r="AC24" i="2"/>
  <c r="AD24" i="2"/>
  <c r="AE24" i="2"/>
  <c r="AF24" i="2"/>
  <c r="AG24" i="2"/>
  <c r="AH24" i="2"/>
  <c r="AI24" i="2"/>
  <c r="AJ24" i="2"/>
  <c r="AK24" i="2"/>
  <c r="AL24" i="2"/>
  <c r="AM24" i="2"/>
  <c r="AN24" i="2"/>
  <c r="AO24" i="2"/>
  <c r="AP24" i="2"/>
  <c r="AQ24" i="2"/>
  <c r="AR24" i="2"/>
  <c r="AS24" i="2"/>
  <c r="AT24" i="2"/>
  <c r="AU24" i="2"/>
  <c r="AV24" i="2"/>
  <c r="AW24" i="2"/>
  <c r="AX24" i="2"/>
  <c r="AY24" i="2"/>
  <c r="AZ24" i="2"/>
  <c r="BA24" i="2"/>
  <c r="BB24" i="2"/>
  <c r="BC24" i="2"/>
  <c r="BD24" i="2"/>
  <c r="BE24" i="2"/>
  <c r="BF24" i="2"/>
  <c r="BG24" i="2"/>
  <c r="BH24" i="2"/>
  <c r="BI24" i="2"/>
  <c r="BJ24" i="2"/>
  <c r="BK24" i="2"/>
  <c r="BL24" i="2"/>
  <c r="BM24" i="2"/>
  <c r="BN24" i="2"/>
  <c r="BO24" i="2"/>
  <c r="BP24" i="2"/>
  <c r="BQ24" i="2"/>
  <c r="BR24" i="2"/>
  <c r="BS24" i="2"/>
  <c r="BT24" i="2"/>
  <c r="BU24" i="2"/>
  <c r="BV24" i="2"/>
  <c r="BW24" i="2"/>
  <c r="BX24" i="2"/>
  <c r="BY24" i="2"/>
  <c r="BZ24" i="2"/>
  <c r="CA24" i="2"/>
  <c r="CB24" i="2"/>
  <c r="CC24" i="2"/>
  <c r="CD24" i="2"/>
  <c r="CE24" i="2"/>
  <c r="CF24" i="2"/>
  <c r="CG24" i="2"/>
  <c r="CH24" i="2"/>
  <c r="CI24" i="2"/>
  <c r="CJ24" i="2"/>
  <c r="CK24" i="2"/>
  <c r="CL24" i="2"/>
  <c r="CM24" i="2"/>
  <c r="CN24" i="2"/>
  <c r="CO24" i="2"/>
  <c r="CP24" i="2"/>
  <c r="CQ24" i="2"/>
  <c r="CR24" i="2"/>
  <c r="CS24" i="2"/>
  <c r="CT24" i="2"/>
  <c r="CU24" i="2"/>
  <c r="CV24" i="2"/>
  <c r="T25" i="2"/>
  <c r="U25" i="2"/>
  <c r="V25" i="2"/>
  <c r="W25" i="2"/>
  <c r="X25" i="2"/>
  <c r="Y25" i="2"/>
  <c r="Z25" i="2"/>
  <c r="AA25" i="2"/>
  <c r="AB25" i="2"/>
  <c r="AC25" i="2"/>
  <c r="AD25" i="2"/>
  <c r="AE25" i="2"/>
  <c r="AF25" i="2"/>
  <c r="AG25" i="2"/>
  <c r="AH25" i="2"/>
  <c r="AI25" i="2"/>
  <c r="AJ25" i="2"/>
  <c r="AK25" i="2"/>
  <c r="AL25" i="2"/>
  <c r="AM25" i="2"/>
  <c r="AN25" i="2"/>
  <c r="AO25" i="2"/>
  <c r="AP25" i="2"/>
  <c r="AQ25" i="2"/>
  <c r="AR25" i="2"/>
  <c r="AS25" i="2"/>
  <c r="AT25" i="2"/>
  <c r="AU25" i="2"/>
  <c r="AV25" i="2"/>
  <c r="AW25" i="2"/>
  <c r="AX25" i="2"/>
  <c r="AY25" i="2"/>
  <c r="AZ25" i="2"/>
  <c r="BA25" i="2"/>
  <c r="BB25" i="2"/>
  <c r="BC25" i="2"/>
  <c r="BD25" i="2"/>
  <c r="BE25" i="2"/>
  <c r="BF25" i="2"/>
  <c r="BG25" i="2"/>
  <c r="BH25" i="2"/>
  <c r="BI25" i="2"/>
  <c r="BJ25" i="2"/>
  <c r="BK25" i="2"/>
  <c r="BL25" i="2"/>
  <c r="BM25" i="2"/>
  <c r="BN25" i="2"/>
  <c r="BO25" i="2"/>
  <c r="BP25" i="2"/>
  <c r="BQ25" i="2"/>
  <c r="BR25" i="2"/>
  <c r="BS25" i="2"/>
  <c r="BT25" i="2"/>
  <c r="BU25" i="2"/>
  <c r="BV25" i="2"/>
  <c r="BW25" i="2"/>
  <c r="BX25" i="2"/>
  <c r="BY25" i="2"/>
  <c r="BZ25" i="2"/>
  <c r="CA25" i="2"/>
  <c r="CB25" i="2"/>
  <c r="CC25" i="2"/>
  <c r="CD25" i="2"/>
  <c r="CE25" i="2"/>
  <c r="CF25" i="2"/>
  <c r="CG25" i="2"/>
  <c r="CH25" i="2"/>
  <c r="CI25" i="2"/>
  <c r="CJ25" i="2"/>
  <c r="CK25" i="2"/>
  <c r="CL25" i="2"/>
  <c r="CM25" i="2"/>
  <c r="CN25" i="2"/>
  <c r="CO25" i="2"/>
  <c r="CP25" i="2"/>
  <c r="CQ25" i="2"/>
  <c r="CR25" i="2"/>
  <c r="CS25" i="2"/>
  <c r="CT25" i="2"/>
  <c r="CU25" i="2"/>
  <c r="CV25" i="2"/>
  <c r="T26" i="2"/>
  <c r="U26" i="2"/>
  <c r="V26" i="2"/>
  <c r="W26" i="2"/>
  <c r="X26" i="2"/>
  <c r="Y26" i="2"/>
  <c r="Z26" i="2"/>
  <c r="AA26" i="2"/>
  <c r="AB26" i="2"/>
  <c r="AC26" i="2"/>
  <c r="AD26" i="2"/>
  <c r="AE26" i="2"/>
  <c r="AF26" i="2"/>
  <c r="AG26" i="2"/>
  <c r="AH26" i="2"/>
  <c r="AI26" i="2"/>
  <c r="AJ26" i="2"/>
  <c r="AK26" i="2"/>
  <c r="AL26" i="2"/>
  <c r="AM26" i="2"/>
  <c r="AN26" i="2"/>
  <c r="AO26" i="2"/>
  <c r="AP26" i="2"/>
  <c r="AQ26" i="2"/>
  <c r="AR26" i="2"/>
  <c r="AS26" i="2"/>
  <c r="AT26" i="2"/>
  <c r="AU26" i="2"/>
  <c r="AV26" i="2"/>
  <c r="AW26" i="2"/>
  <c r="AX26" i="2"/>
  <c r="AY26" i="2"/>
  <c r="AZ26" i="2"/>
  <c r="BA26" i="2"/>
  <c r="BB26" i="2"/>
  <c r="BC26" i="2"/>
  <c r="BD26" i="2"/>
  <c r="BE26" i="2"/>
  <c r="BF26" i="2"/>
  <c r="BG26" i="2"/>
  <c r="BH26" i="2"/>
  <c r="BI26" i="2"/>
  <c r="BJ26" i="2"/>
  <c r="BK26" i="2"/>
  <c r="BL26" i="2"/>
  <c r="BM26" i="2"/>
  <c r="BN26" i="2"/>
  <c r="BO26" i="2"/>
  <c r="BP26" i="2"/>
  <c r="BQ26" i="2"/>
  <c r="BR26" i="2"/>
  <c r="BS26" i="2"/>
  <c r="BT26" i="2"/>
  <c r="BU26" i="2"/>
  <c r="BV26" i="2"/>
  <c r="BW26" i="2"/>
  <c r="BX26" i="2"/>
  <c r="BY26" i="2"/>
  <c r="BZ26" i="2"/>
  <c r="CA26" i="2"/>
  <c r="CB26" i="2"/>
  <c r="CC26" i="2"/>
  <c r="CD26" i="2"/>
  <c r="CE26" i="2"/>
  <c r="CF26" i="2"/>
  <c r="CG26" i="2"/>
  <c r="CH26" i="2"/>
  <c r="CI26" i="2"/>
  <c r="CJ26" i="2"/>
  <c r="CK26" i="2"/>
  <c r="CL26" i="2"/>
  <c r="CM26" i="2"/>
  <c r="CN26" i="2"/>
  <c r="CO26" i="2"/>
  <c r="CP26" i="2"/>
  <c r="CQ26" i="2"/>
  <c r="CR26" i="2"/>
  <c r="CS26" i="2"/>
  <c r="CT26" i="2"/>
  <c r="CU26" i="2"/>
  <c r="CV26" i="2"/>
  <c r="T27" i="2"/>
  <c r="U27" i="2"/>
  <c r="V27" i="2"/>
  <c r="W27" i="2"/>
  <c r="X27" i="2"/>
  <c r="Y27" i="2"/>
  <c r="Z27" i="2"/>
  <c r="AA27" i="2"/>
  <c r="AB27" i="2"/>
  <c r="AC27" i="2"/>
  <c r="AD27" i="2"/>
  <c r="AE27" i="2"/>
  <c r="AF27" i="2"/>
  <c r="AG27" i="2"/>
  <c r="AH27" i="2"/>
  <c r="AI27" i="2"/>
  <c r="AJ27" i="2"/>
  <c r="AK27" i="2"/>
  <c r="AL27" i="2"/>
  <c r="AM27" i="2"/>
  <c r="AN27" i="2"/>
  <c r="AO27" i="2"/>
  <c r="AP27" i="2"/>
  <c r="AQ27" i="2"/>
  <c r="AR27" i="2"/>
  <c r="AS27" i="2"/>
  <c r="AT27" i="2"/>
  <c r="AU27" i="2"/>
  <c r="AV27" i="2"/>
  <c r="AW27" i="2"/>
  <c r="AX27" i="2"/>
  <c r="AY27" i="2"/>
  <c r="AZ27" i="2"/>
  <c r="BA27" i="2"/>
  <c r="BB27" i="2"/>
  <c r="BC27" i="2"/>
  <c r="BD27" i="2"/>
  <c r="BE27" i="2"/>
  <c r="BF27" i="2"/>
  <c r="BG27" i="2"/>
  <c r="BH27" i="2"/>
  <c r="BI27" i="2"/>
  <c r="BJ27" i="2"/>
  <c r="BK27" i="2"/>
  <c r="BL27" i="2"/>
  <c r="BM27" i="2"/>
  <c r="BN27" i="2"/>
  <c r="BO27" i="2"/>
  <c r="BP27" i="2"/>
  <c r="BQ27" i="2"/>
  <c r="BR27" i="2"/>
  <c r="BS27" i="2"/>
  <c r="BT27" i="2"/>
  <c r="BU27" i="2"/>
  <c r="BV27" i="2"/>
  <c r="BW27" i="2"/>
  <c r="BX27" i="2"/>
  <c r="BY27" i="2"/>
  <c r="BZ27" i="2"/>
  <c r="CA27" i="2"/>
  <c r="CB27" i="2"/>
  <c r="CC27" i="2"/>
  <c r="CD27" i="2"/>
  <c r="CE27" i="2"/>
  <c r="CF27" i="2"/>
  <c r="CG27" i="2"/>
  <c r="CH27" i="2"/>
  <c r="CI27" i="2"/>
  <c r="CJ27" i="2"/>
  <c r="CK27" i="2"/>
  <c r="CL27" i="2"/>
  <c r="CM27" i="2"/>
  <c r="CN27" i="2"/>
  <c r="CO27" i="2"/>
  <c r="CP27" i="2"/>
  <c r="CQ27" i="2"/>
  <c r="CR27" i="2"/>
  <c r="CS27" i="2"/>
  <c r="CT27" i="2"/>
  <c r="CU27" i="2"/>
  <c r="CV27" i="2"/>
  <c r="T28" i="2"/>
  <c r="U28" i="2"/>
  <c r="V28" i="2"/>
  <c r="W28" i="2"/>
  <c r="X28" i="2"/>
  <c r="Y28" i="2"/>
  <c r="Z28" i="2"/>
  <c r="AA28" i="2"/>
  <c r="AB28" i="2"/>
  <c r="AC28" i="2"/>
  <c r="AD28" i="2"/>
  <c r="AE28" i="2"/>
  <c r="AF28" i="2"/>
  <c r="AG28" i="2"/>
  <c r="AH28" i="2"/>
  <c r="AI28" i="2"/>
  <c r="AJ28" i="2"/>
  <c r="AK28" i="2"/>
  <c r="AL28" i="2"/>
  <c r="AM28" i="2"/>
  <c r="AN28" i="2"/>
  <c r="AO28" i="2"/>
  <c r="AP28" i="2"/>
  <c r="AQ28" i="2"/>
  <c r="AR28" i="2"/>
  <c r="AS28" i="2"/>
  <c r="AT28" i="2"/>
  <c r="AU28" i="2"/>
  <c r="AV28" i="2"/>
  <c r="AW28" i="2"/>
  <c r="AX28" i="2"/>
  <c r="AY28" i="2"/>
  <c r="AZ28" i="2"/>
  <c r="BA28" i="2"/>
  <c r="BB28" i="2"/>
  <c r="BC28" i="2"/>
  <c r="BD28" i="2"/>
  <c r="BE28" i="2"/>
  <c r="BF28" i="2"/>
  <c r="BG28" i="2"/>
  <c r="BH28" i="2"/>
  <c r="BI28" i="2"/>
  <c r="BJ28" i="2"/>
  <c r="BK28" i="2"/>
  <c r="BL28" i="2"/>
  <c r="BM28" i="2"/>
  <c r="BN28" i="2"/>
  <c r="BO28" i="2"/>
  <c r="BP28" i="2"/>
  <c r="BQ28" i="2"/>
  <c r="BR28" i="2"/>
  <c r="BS28" i="2"/>
  <c r="BT28" i="2"/>
  <c r="BU28" i="2"/>
  <c r="BV28" i="2"/>
  <c r="BW28" i="2"/>
  <c r="BX28" i="2"/>
  <c r="BY28" i="2"/>
  <c r="BZ28" i="2"/>
  <c r="CA28" i="2"/>
  <c r="CB28" i="2"/>
  <c r="CC28" i="2"/>
  <c r="CD28" i="2"/>
  <c r="CE28" i="2"/>
  <c r="CF28" i="2"/>
  <c r="CG28" i="2"/>
  <c r="CH28" i="2"/>
  <c r="CI28" i="2"/>
  <c r="CJ28" i="2"/>
  <c r="CK28" i="2"/>
  <c r="CL28" i="2"/>
  <c r="CM28" i="2"/>
  <c r="CN28" i="2"/>
  <c r="CO28" i="2"/>
  <c r="CP28" i="2"/>
  <c r="CQ28" i="2"/>
  <c r="CR28" i="2"/>
  <c r="CS28" i="2"/>
  <c r="CT28" i="2"/>
  <c r="CU28" i="2"/>
  <c r="CV28" i="2"/>
  <c r="T29" i="2"/>
  <c r="U29" i="2"/>
  <c r="V29" i="2"/>
  <c r="W29" i="2"/>
  <c r="X29" i="2"/>
  <c r="Y29" i="2"/>
  <c r="Z29" i="2"/>
  <c r="AA29" i="2"/>
  <c r="AB29" i="2"/>
  <c r="AC29" i="2"/>
  <c r="AD29" i="2"/>
  <c r="AE29" i="2"/>
  <c r="AF29" i="2"/>
  <c r="AG29" i="2"/>
  <c r="AH29" i="2"/>
  <c r="AI29" i="2"/>
  <c r="AJ29" i="2"/>
  <c r="AK29" i="2"/>
  <c r="AL29" i="2"/>
  <c r="AM29" i="2"/>
  <c r="AN29" i="2"/>
  <c r="AO29" i="2"/>
  <c r="AP29" i="2"/>
  <c r="AQ29" i="2"/>
  <c r="AR29" i="2"/>
  <c r="AS29" i="2"/>
  <c r="AT29" i="2"/>
  <c r="AU29" i="2"/>
  <c r="AV29" i="2"/>
  <c r="AW29" i="2"/>
  <c r="AX29" i="2"/>
  <c r="AY29" i="2"/>
  <c r="AZ29" i="2"/>
  <c r="BA29" i="2"/>
  <c r="BB29" i="2"/>
  <c r="BC29" i="2"/>
  <c r="BD29" i="2"/>
  <c r="BE29" i="2"/>
  <c r="BF29" i="2"/>
  <c r="BG29" i="2"/>
  <c r="BH29" i="2"/>
  <c r="BI29" i="2"/>
  <c r="BJ29" i="2"/>
  <c r="BK29" i="2"/>
  <c r="BL29" i="2"/>
  <c r="BM29" i="2"/>
  <c r="BN29" i="2"/>
  <c r="BO29" i="2"/>
  <c r="BP29" i="2"/>
  <c r="BQ29" i="2"/>
  <c r="BR29" i="2"/>
  <c r="BS29" i="2"/>
  <c r="BT29" i="2"/>
  <c r="BU29" i="2"/>
  <c r="BV29" i="2"/>
  <c r="BW29" i="2"/>
  <c r="BX29" i="2"/>
  <c r="BY29" i="2"/>
  <c r="BZ29" i="2"/>
  <c r="CA29" i="2"/>
  <c r="CB29" i="2"/>
  <c r="CC29" i="2"/>
  <c r="CD29" i="2"/>
  <c r="CE29" i="2"/>
  <c r="CF29" i="2"/>
  <c r="CG29" i="2"/>
  <c r="CH29" i="2"/>
  <c r="CI29" i="2"/>
  <c r="CJ29" i="2"/>
  <c r="CK29" i="2"/>
  <c r="CL29" i="2"/>
  <c r="CM29" i="2"/>
  <c r="CN29" i="2"/>
  <c r="CO29" i="2"/>
  <c r="CP29" i="2"/>
  <c r="CQ29" i="2"/>
  <c r="CR29" i="2"/>
  <c r="CS29" i="2"/>
  <c r="CT29" i="2"/>
  <c r="CU29" i="2"/>
  <c r="CV29" i="2"/>
  <c r="T30" i="2"/>
  <c r="U30" i="2"/>
  <c r="V30" i="2"/>
  <c r="W30" i="2"/>
  <c r="X30" i="2"/>
  <c r="Y30" i="2"/>
  <c r="Z30" i="2"/>
  <c r="AA30" i="2"/>
  <c r="AB30" i="2"/>
  <c r="AC30" i="2"/>
  <c r="AD30" i="2"/>
  <c r="AE30" i="2"/>
  <c r="AF30" i="2"/>
  <c r="AG30" i="2"/>
  <c r="AH30" i="2"/>
  <c r="AI30" i="2"/>
  <c r="AJ30" i="2"/>
  <c r="AK30" i="2"/>
  <c r="AL30" i="2"/>
  <c r="AM30" i="2"/>
  <c r="AN30" i="2"/>
  <c r="AO30" i="2"/>
  <c r="AP30" i="2"/>
  <c r="AQ30" i="2"/>
  <c r="AR30" i="2"/>
  <c r="AS30" i="2"/>
  <c r="AT30" i="2"/>
  <c r="AU30" i="2"/>
  <c r="AV30" i="2"/>
  <c r="AW30" i="2"/>
  <c r="AX30" i="2"/>
  <c r="AY30" i="2"/>
  <c r="AZ30" i="2"/>
  <c r="BA30" i="2"/>
  <c r="BB30" i="2"/>
  <c r="BC30" i="2"/>
  <c r="BD30" i="2"/>
  <c r="BE30" i="2"/>
  <c r="BF30" i="2"/>
  <c r="BG30" i="2"/>
  <c r="BH30" i="2"/>
  <c r="BI30" i="2"/>
  <c r="BJ30" i="2"/>
  <c r="BK30" i="2"/>
  <c r="BL30" i="2"/>
  <c r="BM30" i="2"/>
  <c r="BN30" i="2"/>
  <c r="BO30" i="2"/>
  <c r="BP30" i="2"/>
  <c r="BQ30" i="2"/>
  <c r="BR30" i="2"/>
  <c r="BS30" i="2"/>
  <c r="BT30" i="2"/>
  <c r="BU30" i="2"/>
  <c r="BV30" i="2"/>
  <c r="BW30" i="2"/>
  <c r="BX30" i="2"/>
  <c r="BY30" i="2"/>
  <c r="BZ30" i="2"/>
  <c r="CA30" i="2"/>
  <c r="CB30" i="2"/>
  <c r="CC30" i="2"/>
  <c r="CD30" i="2"/>
  <c r="CE30" i="2"/>
  <c r="CF30" i="2"/>
  <c r="CG30" i="2"/>
  <c r="CH30" i="2"/>
  <c r="CI30" i="2"/>
  <c r="CJ30" i="2"/>
  <c r="CK30" i="2"/>
  <c r="CL30" i="2"/>
  <c r="CM30" i="2"/>
  <c r="CN30" i="2"/>
  <c r="CO30" i="2"/>
  <c r="CP30" i="2"/>
  <c r="CQ30" i="2"/>
  <c r="CR30" i="2"/>
  <c r="CS30" i="2"/>
  <c r="CT30" i="2"/>
  <c r="CU30" i="2"/>
  <c r="CV30" i="2"/>
  <c r="T31" i="2"/>
  <c r="U31" i="2"/>
  <c r="V31" i="2"/>
  <c r="W31" i="2"/>
  <c r="X31" i="2"/>
  <c r="Y31" i="2"/>
  <c r="Z31" i="2"/>
  <c r="AA31" i="2"/>
  <c r="AB31" i="2"/>
  <c r="AC31" i="2"/>
  <c r="AD31" i="2"/>
  <c r="AE31" i="2"/>
  <c r="AF31" i="2"/>
  <c r="AG31" i="2"/>
  <c r="AH31" i="2"/>
  <c r="AI31" i="2"/>
  <c r="AJ31" i="2"/>
  <c r="AK31" i="2"/>
  <c r="AL31" i="2"/>
  <c r="AM31" i="2"/>
  <c r="AN31" i="2"/>
  <c r="AO31" i="2"/>
  <c r="AP31" i="2"/>
  <c r="AQ31" i="2"/>
  <c r="AR31" i="2"/>
  <c r="AS31" i="2"/>
  <c r="AT31" i="2"/>
  <c r="AU31" i="2"/>
  <c r="AV31" i="2"/>
  <c r="AW31" i="2"/>
  <c r="AX31" i="2"/>
  <c r="AY31" i="2"/>
  <c r="AZ31" i="2"/>
  <c r="BA31" i="2"/>
  <c r="BB31" i="2"/>
  <c r="BC31" i="2"/>
  <c r="BD31" i="2"/>
  <c r="BE31" i="2"/>
  <c r="BF31" i="2"/>
  <c r="BG31" i="2"/>
  <c r="BH31" i="2"/>
  <c r="BI31" i="2"/>
  <c r="BJ31" i="2"/>
  <c r="BK31" i="2"/>
  <c r="BL31" i="2"/>
  <c r="BM31" i="2"/>
  <c r="BN31" i="2"/>
  <c r="BO31" i="2"/>
  <c r="BP31" i="2"/>
  <c r="BQ31" i="2"/>
  <c r="BR31" i="2"/>
  <c r="BS31" i="2"/>
  <c r="BT31" i="2"/>
  <c r="BU31" i="2"/>
  <c r="BV31" i="2"/>
  <c r="BW31" i="2"/>
  <c r="BX31" i="2"/>
  <c r="BY31" i="2"/>
  <c r="BZ31" i="2"/>
  <c r="CA31" i="2"/>
  <c r="CB31" i="2"/>
  <c r="CC31" i="2"/>
  <c r="CD31" i="2"/>
  <c r="CE31" i="2"/>
  <c r="CF31" i="2"/>
  <c r="CG31" i="2"/>
  <c r="CH31" i="2"/>
  <c r="CI31" i="2"/>
  <c r="CJ31" i="2"/>
  <c r="CK31" i="2"/>
  <c r="CL31" i="2"/>
  <c r="CM31" i="2"/>
  <c r="CN31" i="2"/>
  <c r="CO31" i="2"/>
  <c r="CP31" i="2"/>
  <c r="CQ31" i="2"/>
  <c r="CR31" i="2"/>
  <c r="CS31" i="2"/>
  <c r="CT31" i="2"/>
  <c r="CU31" i="2"/>
  <c r="CV31" i="2"/>
  <c r="T32" i="2"/>
  <c r="U32" i="2"/>
  <c r="V32" i="2"/>
  <c r="W32" i="2"/>
  <c r="X32" i="2"/>
  <c r="Y32" i="2"/>
  <c r="Z32" i="2"/>
  <c r="AA32" i="2"/>
  <c r="AB32" i="2"/>
  <c r="AC32" i="2"/>
  <c r="AD32" i="2"/>
  <c r="AE32" i="2"/>
  <c r="AF32" i="2"/>
  <c r="AG32" i="2"/>
  <c r="AH32" i="2"/>
  <c r="AI32" i="2"/>
  <c r="AJ32" i="2"/>
  <c r="AK32" i="2"/>
  <c r="AL32" i="2"/>
  <c r="AM32" i="2"/>
  <c r="AN32" i="2"/>
  <c r="AO32" i="2"/>
  <c r="AP32" i="2"/>
  <c r="AQ32" i="2"/>
  <c r="AR32" i="2"/>
  <c r="AS32" i="2"/>
  <c r="AT32" i="2"/>
  <c r="AU32" i="2"/>
  <c r="AV32" i="2"/>
  <c r="AW32" i="2"/>
  <c r="AX32" i="2"/>
  <c r="AY32" i="2"/>
  <c r="AZ32" i="2"/>
  <c r="BA32" i="2"/>
  <c r="BB32" i="2"/>
  <c r="BC32" i="2"/>
  <c r="BD32" i="2"/>
  <c r="BE32" i="2"/>
  <c r="BF32" i="2"/>
  <c r="BG32" i="2"/>
  <c r="BH32" i="2"/>
  <c r="BI32" i="2"/>
  <c r="BJ32" i="2"/>
  <c r="BK32" i="2"/>
  <c r="BL32" i="2"/>
  <c r="BM32" i="2"/>
  <c r="BN32" i="2"/>
  <c r="BO32" i="2"/>
  <c r="BP32" i="2"/>
  <c r="BQ32" i="2"/>
  <c r="BR32" i="2"/>
  <c r="BS32" i="2"/>
  <c r="BT32" i="2"/>
  <c r="BU32" i="2"/>
  <c r="BV32" i="2"/>
  <c r="BW32" i="2"/>
  <c r="BX32" i="2"/>
  <c r="BY32" i="2"/>
  <c r="BZ32" i="2"/>
  <c r="CA32" i="2"/>
  <c r="CB32" i="2"/>
  <c r="CC32" i="2"/>
  <c r="CD32" i="2"/>
  <c r="CE32" i="2"/>
  <c r="CF32" i="2"/>
  <c r="CG32" i="2"/>
  <c r="CH32" i="2"/>
  <c r="CI32" i="2"/>
  <c r="CJ32" i="2"/>
  <c r="CK32" i="2"/>
  <c r="CL32" i="2"/>
  <c r="CM32" i="2"/>
  <c r="CN32" i="2"/>
  <c r="CO32" i="2"/>
  <c r="CP32" i="2"/>
  <c r="CQ32" i="2"/>
  <c r="CR32" i="2"/>
  <c r="CS32" i="2"/>
  <c r="CT32" i="2"/>
  <c r="CU32" i="2"/>
  <c r="CV32" i="2"/>
  <c r="T33" i="2"/>
  <c r="U33" i="2"/>
  <c r="V33" i="2"/>
  <c r="W33" i="2"/>
  <c r="X33" i="2"/>
  <c r="Y33" i="2"/>
  <c r="Z33" i="2"/>
  <c r="AA33" i="2"/>
  <c r="AB33" i="2"/>
  <c r="AC33" i="2"/>
  <c r="AD33" i="2"/>
  <c r="AE33" i="2"/>
  <c r="AF33" i="2"/>
  <c r="AG33" i="2"/>
  <c r="AH33" i="2"/>
  <c r="AI33" i="2"/>
  <c r="AJ33" i="2"/>
  <c r="AK33" i="2"/>
  <c r="AL33" i="2"/>
  <c r="AM33" i="2"/>
  <c r="AN33" i="2"/>
  <c r="AO33" i="2"/>
  <c r="AP33" i="2"/>
  <c r="AQ33" i="2"/>
  <c r="AR33" i="2"/>
  <c r="AS33" i="2"/>
  <c r="AT33" i="2"/>
  <c r="AU33" i="2"/>
  <c r="AV33" i="2"/>
  <c r="AW33" i="2"/>
  <c r="AX33" i="2"/>
  <c r="AY33" i="2"/>
  <c r="AZ33" i="2"/>
  <c r="BA33" i="2"/>
  <c r="BB33" i="2"/>
  <c r="BC33" i="2"/>
  <c r="BD33" i="2"/>
  <c r="BE33" i="2"/>
  <c r="BF33" i="2"/>
  <c r="BG33" i="2"/>
  <c r="BH33" i="2"/>
  <c r="BI33" i="2"/>
  <c r="BJ33" i="2"/>
  <c r="BK33" i="2"/>
  <c r="BL33" i="2"/>
  <c r="BM33" i="2"/>
  <c r="BN33" i="2"/>
  <c r="BO33" i="2"/>
  <c r="BP33" i="2"/>
  <c r="BQ33" i="2"/>
  <c r="BR33" i="2"/>
  <c r="BS33" i="2"/>
  <c r="BT33" i="2"/>
  <c r="BU33" i="2"/>
  <c r="BV33" i="2"/>
  <c r="BW33" i="2"/>
  <c r="BX33" i="2"/>
  <c r="BY33" i="2"/>
  <c r="BZ33" i="2"/>
  <c r="CA33" i="2"/>
  <c r="CB33" i="2"/>
  <c r="CC33" i="2"/>
  <c r="CD33" i="2"/>
  <c r="CE33" i="2"/>
  <c r="CF33" i="2"/>
  <c r="CG33" i="2"/>
  <c r="CH33" i="2"/>
  <c r="CI33" i="2"/>
  <c r="CJ33" i="2"/>
  <c r="CK33" i="2"/>
  <c r="CL33" i="2"/>
  <c r="CM33" i="2"/>
  <c r="CN33" i="2"/>
  <c r="CO33" i="2"/>
  <c r="CP33" i="2"/>
  <c r="CQ33" i="2"/>
  <c r="CR33" i="2"/>
  <c r="CS33" i="2"/>
  <c r="CT33" i="2"/>
  <c r="CU33" i="2"/>
  <c r="CV33" i="2"/>
  <c r="T34" i="2"/>
  <c r="U34" i="2"/>
  <c r="V34" i="2"/>
  <c r="W34" i="2"/>
  <c r="X34" i="2"/>
  <c r="Y34" i="2"/>
  <c r="Z34" i="2"/>
  <c r="AA34" i="2"/>
  <c r="AB34" i="2"/>
  <c r="AC34" i="2"/>
  <c r="AD34" i="2"/>
  <c r="AE34" i="2"/>
  <c r="AF34" i="2"/>
  <c r="AG34" i="2"/>
  <c r="AH34" i="2"/>
  <c r="AI34" i="2"/>
  <c r="AJ34" i="2"/>
  <c r="AK34" i="2"/>
  <c r="AL34" i="2"/>
  <c r="AM34" i="2"/>
  <c r="AN34" i="2"/>
  <c r="AO34" i="2"/>
  <c r="AP34" i="2"/>
  <c r="AQ34" i="2"/>
  <c r="AR34" i="2"/>
  <c r="AS34" i="2"/>
  <c r="AT34" i="2"/>
  <c r="AU34" i="2"/>
  <c r="AV34" i="2"/>
  <c r="AW34" i="2"/>
  <c r="AX34" i="2"/>
  <c r="AY34" i="2"/>
  <c r="AZ34" i="2"/>
  <c r="BA34" i="2"/>
  <c r="BB34" i="2"/>
  <c r="BC34" i="2"/>
  <c r="BD34" i="2"/>
  <c r="BE34" i="2"/>
  <c r="BF34" i="2"/>
  <c r="BG34" i="2"/>
  <c r="BH34" i="2"/>
  <c r="BI34" i="2"/>
  <c r="BJ34" i="2"/>
  <c r="BK34" i="2"/>
  <c r="BL34" i="2"/>
  <c r="BM34" i="2"/>
  <c r="BN34" i="2"/>
  <c r="BO34" i="2"/>
  <c r="BP34" i="2"/>
  <c r="BQ34" i="2"/>
  <c r="BR34" i="2"/>
  <c r="BS34" i="2"/>
  <c r="BT34" i="2"/>
  <c r="BU34" i="2"/>
  <c r="BV34" i="2"/>
  <c r="BW34" i="2"/>
  <c r="BX34" i="2"/>
  <c r="BY34" i="2"/>
  <c r="BZ34" i="2"/>
  <c r="CA34" i="2"/>
  <c r="CB34" i="2"/>
  <c r="CC34" i="2"/>
  <c r="CD34" i="2"/>
  <c r="CE34" i="2"/>
  <c r="CF34" i="2"/>
  <c r="CG34" i="2"/>
  <c r="CH34" i="2"/>
  <c r="CI34" i="2"/>
  <c r="CJ34" i="2"/>
  <c r="CK34" i="2"/>
  <c r="CL34" i="2"/>
  <c r="CM34" i="2"/>
  <c r="CN34" i="2"/>
  <c r="CO34" i="2"/>
  <c r="CP34" i="2"/>
  <c r="CQ34" i="2"/>
  <c r="CR34" i="2"/>
  <c r="CS34" i="2"/>
  <c r="CT34" i="2"/>
  <c r="CU34" i="2"/>
  <c r="CV34" i="2"/>
  <c r="T35" i="2"/>
  <c r="U35" i="2"/>
  <c r="V35" i="2"/>
  <c r="W35" i="2"/>
  <c r="X35" i="2"/>
  <c r="Y35" i="2"/>
  <c r="Z35" i="2"/>
  <c r="AA35" i="2"/>
  <c r="AB35" i="2"/>
  <c r="AC35" i="2"/>
  <c r="AD35" i="2"/>
  <c r="AE35" i="2"/>
  <c r="AF35" i="2"/>
  <c r="AG35" i="2"/>
  <c r="AH35" i="2"/>
  <c r="AI35" i="2"/>
  <c r="AJ35" i="2"/>
  <c r="AK35" i="2"/>
  <c r="AL35" i="2"/>
  <c r="AM35" i="2"/>
  <c r="AN35" i="2"/>
  <c r="AO35" i="2"/>
  <c r="AP35" i="2"/>
  <c r="AQ35" i="2"/>
  <c r="AR35" i="2"/>
  <c r="AS35" i="2"/>
  <c r="AT35" i="2"/>
  <c r="AU35" i="2"/>
  <c r="AV35" i="2"/>
  <c r="AW35" i="2"/>
  <c r="AX35" i="2"/>
  <c r="AY35" i="2"/>
  <c r="AZ35" i="2"/>
  <c r="BA35" i="2"/>
  <c r="BB35" i="2"/>
  <c r="BC35" i="2"/>
  <c r="BD35" i="2"/>
  <c r="BE35" i="2"/>
  <c r="BF35" i="2"/>
  <c r="BG35" i="2"/>
  <c r="BH35" i="2"/>
  <c r="BI35" i="2"/>
  <c r="BJ35" i="2"/>
  <c r="BK35" i="2"/>
  <c r="BL35" i="2"/>
  <c r="BM35" i="2"/>
  <c r="BN35" i="2"/>
  <c r="BO35" i="2"/>
  <c r="BP35" i="2"/>
  <c r="BQ35" i="2"/>
  <c r="BR35" i="2"/>
  <c r="BS35" i="2"/>
  <c r="BT35" i="2"/>
  <c r="BU35" i="2"/>
  <c r="BV35" i="2"/>
  <c r="BW35" i="2"/>
  <c r="BX35" i="2"/>
  <c r="BY35" i="2"/>
  <c r="BZ35" i="2"/>
  <c r="CA35" i="2"/>
  <c r="CB35" i="2"/>
  <c r="CC35" i="2"/>
  <c r="CD35" i="2"/>
  <c r="CE35" i="2"/>
  <c r="CF35" i="2"/>
  <c r="CG35" i="2"/>
  <c r="CH35" i="2"/>
  <c r="CI35" i="2"/>
  <c r="CJ35" i="2"/>
  <c r="CK35" i="2"/>
  <c r="CL35" i="2"/>
  <c r="CM35" i="2"/>
  <c r="CN35" i="2"/>
  <c r="CO35" i="2"/>
  <c r="CP35" i="2"/>
  <c r="CQ35" i="2"/>
  <c r="CR35" i="2"/>
  <c r="CS35" i="2"/>
  <c r="CT35" i="2"/>
  <c r="CU35" i="2"/>
  <c r="CV35" i="2"/>
  <c r="T36" i="2"/>
  <c r="U36" i="2"/>
  <c r="V36" i="2"/>
  <c r="W36" i="2"/>
  <c r="X36" i="2"/>
  <c r="Y36" i="2"/>
  <c r="Z36" i="2"/>
  <c r="AA36" i="2"/>
  <c r="AB36" i="2"/>
  <c r="AC36" i="2"/>
  <c r="AD36" i="2"/>
  <c r="AE36" i="2"/>
  <c r="AF36" i="2"/>
  <c r="AG36" i="2"/>
  <c r="AH36" i="2"/>
  <c r="AI36" i="2"/>
  <c r="AJ36" i="2"/>
  <c r="AK36" i="2"/>
  <c r="AL36" i="2"/>
  <c r="AM36" i="2"/>
  <c r="AN36" i="2"/>
  <c r="AO36" i="2"/>
  <c r="AP36" i="2"/>
  <c r="AQ36" i="2"/>
  <c r="AR36" i="2"/>
  <c r="AS36" i="2"/>
  <c r="AT36" i="2"/>
  <c r="AU36" i="2"/>
  <c r="AV36" i="2"/>
  <c r="AW36" i="2"/>
  <c r="AX36" i="2"/>
  <c r="AY36" i="2"/>
  <c r="AZ36" i="2"/>
  <c r="BA36" i="2"/>
  <c r="BB36" i="2"/>
  <c r="BC36" i="2"/>
  <c r="BD36" i="2"/>
  <c r="BE36" i="2"/>
  <c r="BF36" i="2"/>
  <c r="BG36" i="2"/>
  <c r="BH36" i="2"/>
  <c r="BI36" i="2"/>
  <c r="BJ36" i="2"/>
  <c r="BK36" i="2"/>
  <c r="BL36" i="2"/>
  <c r="BM36" i="2"/>
  <c r="BN36" i="2"/>
  <c r="BO36" i="2"/>
  <c r="BP36" i="2"/>
  <c r="BQ36" i="2"/>
  <c r="BR36" i="2"/>
  <c r="BS36" i="2"/>
  <c r="BT36" i="2"/>
  <c r="BU36" i="2"/>
  <c r="BV36" i="2"/>
  <c r="BW36" i="2"/>
  <c r="BX36" i="2"/>
  <c r="BY36" i="2"/>
  <c r="BZ36" i="2"/>
  <c r="CA36" i="2"/>
  <c r="CB36" i="2"/>
  <c r="CC36" i="2"/>
  <c r="CD36" i="2"/>
  <c r="CE36" i="2"/>
  <c r="CF36" i="2"/>
  <c r="CG36" i="2"/>
  <c r="CH36" i="2"/>
  <c r="CI36" i="2"/>
  <c r="CJ36" i="2"/>
  <c r="CK36" i="2"/>
  <c r="CL36" i="2"/>
  <c r="CM36" i="2"/>
  <c r="CN36" i="2"/>
  <c r="CO36" i="2"/>
  <c r="CP36" i="2"/>
  <c r="CQ36" i="2"/>
  <c r="CR36" i="2"/>
  <c r="CS36" i="2"/>
  <c r="CT36" i="2"/>
  <c r="CU36" i="2"/>
  <c r="CV36" i="2"/>
  <c r="T37" i="2"/>
  <c r="U37" i="2"/>
  <c r="V37" i="2"/>
  <c r="W37" i="2"/>
  <c r="X37" i="2"/>
  <c r="Y37" i="2"/>
  <c r="Z37" i="2"/>
  <c r="AA37" i="2"/>
  <c r="AB37" i="2"/>
  <c r="AC37" i="2"/>
  <c r="AD37" i="2"/>
  <c r="AE37" i="2"/>
  <c r="AF37" i="2"/>
  <c r="AG37" i="2"/>
  <c r="AH37" i="2"/>
  <c r="AI37" i="2"/>
  <c r="AJ37" i="2"/>
  <c r="AK37" i="2"/>
  <c r="AL37" i="2"/>
  <c r="AM37" i="2"/>
  <c r="AN37" i="2"/>
  <c r="AO37" i="2"/>
  <c r="AP37" i="2"/>
  <c r="AQ37" i="2"/>
  <c r="AR37" i="2"/>
  <c r="AS37" i="2"/>
  <c r="AT37" i="2"/>
  <c r="AU37" i="2"/>
  <c r="AV37" i="2"/>
  <c r="AW37" i="2"/>
  <c r="AX37" i="2"/>
  <c r="AY37" i="2"/>
  <c r="AZ37" i="2"/>
  <c r="BA37" i="2"/>
  <c r="BB37" i="2"/>
  <c r="BC37" i="2"/>
  <c r="BD37" i="2"/>
  <c r="BE37" i="2"/>
  <c r="BF37" i="2"/>
  <c r="BG37" i="2"/>
  <c r="BH37" i="2"/>
  <c r="BI37" i="2"/>
  <c r="BJ37" i="2"/>
  <c r="BK37" i="2"/>
  <c r="BL37" i="2"/>
  <c r="BM37" i="2"/>
  <c r="BN37" i="2"/>
  <c r="BO37" i="2"/>
  <c r="BP37" i="2"/>
  <c r="BQ37" i="2"/>
  <c r="BR37" i="2"/>
  <c r="BS37" i="2"/>
  <c r="BT37" i="2"/>
  <c r="BU37" i="2"/>
  <c r="BV37" i="2"/>
  <c r="BW37" i="2"/>
  <c r="BX37" i="2"/>
  <c r="BY37" i="2"/>
  <c r="BZ37" i="2"/>
  <c r="CA37" i="2"/>
  <c r="CB37" i="2"/>
  <c r="CC37" i="2"/>
  <c r="CD37" i="2"/>
  <c r="CE37" i="2"/>
  <c r="CF37" i="2"/>
  <c r="CG37" i="2"/>
  <c r="CH37" i="2"/>
  <c r="CI37" i="2"/>
  <c r="CJ37" i="2"/>
  <c r="CK37" i="2"/>
  <c r="CL37" i="2"/>
  <c r="CM37" i="2"/>
  <c r="CN37" i="2"/>
  <c r="CO37" i="2"/>
  <c r="CP37" i="2"/>
  <c r="CQ37" i="2"/>
  <c r="CR37" i="2"/>
  <c r="CS37" i="2"/>
  <c r="CT37" i="2"/>
  <c r="CU37" i="2"/>
  <c r="CV37" i="2"/>
  <c r="T38" i="2"/>
  <c r="U38" i="2"/>
  <c r="V38" i="2"/>
  <c r="W38" i="2"/>
  <c r="X38" i="2"/>
  <c r="Y38" i="2"/>
  <c r="Z38" i="2"/>
  <c r="AA38" i="2"/>
  <c r="AB38" i="2"/>
  <c r="AC38" i="2"/>
  <c r="AD38" i="2"/>
  <c r="AE38" i="2"/>
  <c r="AF38" i="2"/>
  <c r="AG38" i="2"/>
  <c r="AH38" i="2"/>
  <c r="AI38" i="2"/>
  <c r="AJ38" i="2"/>
  <c r="AK38" i="2"/>
  <c r="AL38" i="2"/>
  <c r="AM38" i="2"/>
  <c r="AN38" i="2"/>
  <c r="AO38" i="2"/>
  <c r="AP38" i="2"/>
  <c r="AQ38" i="2"/>
  <c r="AR38" i="2"/>
  <c r="AS38" i="2"/>
  <c r="AT38" i="2"/>
  <c r="AU38" i="2"/>
  <c r="AV38" i="2"/>
  <c r="AW38" i="2"/>
  <c r="AX38" i="2"/>
  <c r="AY38" i="2"/>
  <c r="AZ38" i="2"/>
  <c r="BA38" i="2"/>
  <c r="BB38" i="2"/>
  <c r="BC38" i="2"/>
  <c r="BD38" i="2"/>
  <c r="BE38" i="2"/>
  <c r="BF38" i="2"/>
  <c r="BG38" i="2"/>
  <c r="BH38" i="2"/>
  <c r="BI38" i="2"/>
  <c r="BJ38" i="2"/>
  <c r="BK38" i="2"/>
  <c r="BL38" i="2"/>
  <c r="BM38" i="2"/>
  <c r="BN38" i="2"/>
  <c r="BO38" i="2"/>
  <c r="BP38" i="2"/>
  <c r="BQ38" i="2"/>
  <c r="BR38" i="2"/>
  <c r="BS38" i="2"/>
  <c r="BT38" i="2"/>
  <c r="BU38" i="2"/>
  <c r="BV38" i="2"/>
  <c r="BW38" i="2"/>
  <c r="BX38" i="2"/>
  <c r="BY38" i="2"/>
  <c r="BZ38" i="2"/>
  <c r="CA38" i="2"/>
  <c r="CB38" i="2"/>
  <c r="CC38" i="2"/>
  <c r="CD38" i="2"/>
  <c r="CE38" i="2"/>
  <c r="CF38" i="2"/>
  <c r="CG38" i="2"/>
  <c r="CH38" i="2"/>
  <c r="CI38" i="2"/>
  <c r="CJ38" i="2"/>
  <c r="CK38" i="2"/>
  <c r="CL38" i="2"/>
  <c r="CM38" i="2"/>
  <c r="CN38" i="2"/>
  <c r="CO38" i="2"/>
  <c r="CP38" i="2"/>
  <c r="CQ38" i="2"/>
  <c r="CR38" i="2"/>
  <c r="CS38" i="2"/>
  <c r="CT38" i="2"/>
  <c r="CU38" i="2"/>
  <c r="CV38" i="2"/>
  <c r="T39" i="2"/>
  <c r="U39" i="2"/>
  <c r="V39" i="2"/>
  <c r="W39" i="2"/>
  <c r="X39" i="2"/>
  <c r="Y39" i="2"/>
  <c r="Z39" i="2"/>
  <c r="AA39" i="2"/>
  <c r="AB39" i="2"/>
  <c r="AC39" i="2"/>
  <c r="AD39" i="2"/>
  <c r="AE39" i="2"/>
  <c r="AF39" i="2"/>
  <c r="AG39" i="2"/>
  <c r="AH39" i="2"/>
  <c r="AI39" i="2"/>
  <c r="AJ39" i="2"/>
  <c r="AK39" i="2"/>
  <c r="AL39" i="2"/>
  <c r="AM39" i="2"/>
  <c r="AN39" i="2"/>
  <c r="AO39" i="2"/>
  <c r="AP39" i="2"/>
  <c r="AQ39" i="2"/>
  <c r="AR39" i="2"/>
  <c r="AS39" i="2"/>
  <c r="AT39" i="2"/>
  <c r="AU39" i="2"/>
  <c r="AV39" i="2"/>
  <c r="AW39" i="2"/>
  <c r="AX39" i="2"/>
  <c r="AY39" i="2"/>
  <c r="AZ39" i="2"/>
  <c r="BA39" i="2"/>
  <c r="BB39" i="2"/>
  <c r="BC39" i="2"/>
  <c r="BD39" i="2"/>
  <c r="BE39" i="2"/>
  <c r="BF39" i="2"/>
  <c r="BG39" i="2"/>
  <c r="BH39" i="2"/>
  <c r="BI39" i="2"/>
  <c r="BJ39" i="2"/>
  <c r="BK39" i="2"/>
  <c r="BL39" i="2"/>
  <c r="BM39" i="2"/>
  <c r="BN39" i="2"/>
  <c r="BO39" i="2"/>
  <c r="BP39" i="2"/>
  <c r="BQ39" i="2"/>
  <c r="BR39" i="2"/>
  <c r="BS39" i="2"/>
  <c r="BT39" i="2"/>
  <c r="BU39" i="2"/>
  <c r="BV39" i="2"/>
  <c r="BW39" i="2"/>
  <c r="BX39" i="2"/>
  <c r="BY39" i="2"/>
  <c r="BZ39" i="2"/>
  <c r="CA39" i="2"/>
  <c r="CB39" i="2"/>
  <c r="CC39" i="2"/>
  <c r="CD39" i="2"/>
  <c r="CE39" i="2"/>
  <c r="CF39" i="2"/>
  <c r="CG39" i="2"/>
  <c r="CH39" i="2"/>
  <c r="CI39" i="2"/>
  <c r="CJ39" i="2"/>
  <c r="CK39" i="2"/>
  <c r="CL39" i="2"/>
  <c r="CM39" i="2"/>
  <c r="CN39" i="2"/>
  <c r="CO39" i="2"/>
  <c r="CP39" i="2"/>
  <c r="CQ39" i="2"/>
  <c r="CR39" i="2"/>
  <c r="CS39" i="2"/>
  <c r="CT39" i="2"/>
  <c r="CU39" i="2"/>
  <c r="CV39" i="2"/>
  <c r="T40" i="2"/>
  <c r="U40" i="2"/>
  <c r="V40" i="2"/>
  <c r="W40" i="2"/>
  <c r="X40" i="2"/>
  <c r="Y40" i="2"/>
  <c r="Z40" i="2"/>
  <c r="AA40" i="2"/>
  <c r="AB40" i="2"/>
  <c r="AC40" i="2"/>
  <c r="AD40" i="2"/>
  <c r="AE40" i="2"/>
  <c r="AF40" i="2"/>
  <c r="AG40" i="2"/>
  <c r="AH40" i="2"/>
  <c r="AI40" i="2"/>
  <c r="AJ40" i="2"/>
  <c r="AK40" i="2"/>
  <c r="AL40" i="2"/>
  <c r="AM40" i="2"/>
  <c r="AN40" i="2"/>
  <c r="AO40" i="2"/>
  <c r="AP40" i="2"/>
  <c r="AQ40" i="2"/>
  <c r="AR40" i="2"/>
  <c r="AS40" i="2"/>
  <c r="AT40" i="2"/>
  <c r="AU40" i="2"/>
  <c r="AV40" i="2"/>
  <c r="AW40" i="2"/>
  <c r="AX40" i="2"/>
  <c r="AY40" i="2"/>
  <c r="AZ40" i="2"/>
  <c r="BA40" i="2"/>
  <c r="BB40" i="2"/>
  <c r="BC40" i="2"/>
  <c r="BD40" i="2"/>
  <c r="BE40" i="2"/>
  <c r="BF40" i="2"/>
  <c r="BG40" i="2"/>
  <c r="BH40" i="2"/>
  <c r="BI40" i="2"/>
  <c r="BJ40" i="2"/>
  <c r="BK40" i="2"/>
  <c r="BL40" i="2"/>
  <c r="BM40" i="2"/>
  <c r="BN40" i="2"/>
  <c r="BO40" i="2"/>
  <c r="BP40" i="2"/>
  <c r="BQ40" i="2"/>
  <c r="BR40" i="2"/>
  <c r="BS40" i="2"/>
  <c r="BT40" i="2"/>
  <c r="BU40" i="2"/>
  <c r="BV40" i="2"/>
  <c r="BW40" i="2"/>
  <c r="BX40" i="2"/>
  <c r="BY40" i="2"/>
  <c r="BZ40" i="2"/>
  <c r="CA40" i="2"/>
  <c r="CB40" i="2"/>
  <c r="CC40" i="2"/>
  <c r="CD40" i="2"/>
  <c r="CE40" i="2"/>
  <c r="CF40" i="2"/>
  <c r="CG40" i="2"/>
  <c r="CH40" i="2"/>
  <c r="CI40" i="2"/>
  <c r="CJ40" i="2"/>
  <c r="CK40" i="2"/>
  <c r="CL40" i="2"/>
  <c r="CM40" i="2"/>
  <c r="CN40" i="2"/>
  <c r="CO40" i="2"/>
  <c r="CP40" i="2"/>
  <c r="CQ40" i="2"/>
  <c r="CR40" i="2"/>
  <c r="CS40" i="2"/>
  <c r="CT40" i="2"/>
  <c r="CU40" i="2"/>
  <c r="CV40" i="2"/>
  <c r="U3" i="2"/>
  <c r="V3" i="2"/>
  <c r="W3" i="2"/>
  <c r="X3" i="2"/>
  <c r="Y3" i="2"/>
  <c r="Z3" i="2"/>
  <c r="AA3" i="2"/>
  <c r="AB3" i="2"/>
  <c r="AC3" i="2"/>
  <c r="AD3" i="2"/>
  <c r="AE3" i="2"/>
  <c r="AF3" i="2"/>
  <c r="AG3" i="2"/>
  <c r="AH3" i="2"/>
  <c r="AI3" i="2"/>
  <c r="AJ3" i="2"/>
  <c r="AK3" i="2"/>
  <c r="AL3" i="2"/>
  <c r="AM3" i="2"/>
  <c r="AN3" i="2"/>
  <c r="AO3" i="2"/>
  <c r="AP3" i="2"/>
  <c r="AQ3" i="2"/>
  <c r="AR3" i="2"/>
  <c r="AS3" i="2"/>
  <c r="AT3" i="2"/>
  <c r="AU3" i="2"/>
  <c r="AV3" i="2"/>
  <c r="AW3" i="2"/>
  <c r="AX3" i="2"/>
  <c r="AY3" i="2"/>
  <c r="AZ3" i="2"/>
  <c r="BA3" i="2"/>
  <c r="BB3" i="2"/>
  <c r="BC3" i="2"/>
  <c r="BD3" i="2"/>
  <c r="BE3" i="2"/>
  <c r="BF3" i="2"/>
  <c r="BG3" i="2"/>
  <c r="BH3" i="2"/>
  <c r="BI3" i="2"/>
  <c r="BJ3" i="2"/>
  <c r="BK3" i="2"/>
  <c r="BL3" i="2"/>
  <c r="BM3" i="2"/>
  <c r="BN3" i="2"/>
  <c r="BO3" i="2"/>
  <c r="BP3" i="2"/>
  <c r="BQ3" i="2"/>
  <c r="BR3" i="2"/>
  <c r="BS3" i="2"/>
  <c r="BT3" i="2"/>
  <c r="BU3" i="2"/>
  <c r="BV3" i="2"/>
  <c r="BW3" i="2"/>
  <c r="BX3" i="2"/>
  <c r="BY3" i="2"/>
  <c r="BZ3" i="2"/>
  <c r="CA3" i="2"/>
  <c r="CB3" i="2"/>
  <c r="CC3" i="2"/>
  <c r="CD3" i="2"/>
  <c r="CE3" i="2"/>
  <c r="CF3" i="2"/>
  <c r="CG3" i="2"/>
  <c r="CH3" i="2"/>
  <c r="CI3" i="2"/>
  <c r="CJ3" i="2"/>
  <c r="CK3" i="2"/>
  <c r="CL3" i="2"/>
  <c r="CM3" i="2"/>
  <c r="CN3" i="2"/>
  <c r="CO3" i="2"/>
  <c r="CP3" i="2"/>
  <c r="CQ3" i="2"/>
  <c r="CR3" i="2"/>
  <c r="CS3" i="2"/>
  <c r="CT3" i="2"/>
  <c r="CU3" i="2"/>
  <c r="CV3" i="2"/>
  <c r="T3" i="2"/>
  <c r="E11" i="2" l="1"/>
  <c r="E21" i="2"/>
  <c r="E41" i="2"/>
  <c r="E31" i="2"/>
  <c r="D21" i="2"/>
  <c r="D31" i="2"/>
  <c r="D41" i="2"/>
  <c r="D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11" i="2"/>
  <c r="E3" i="2"/>
  <c r="E4" i="2"/>
  <c r="E5" i="2"/>
  <c r="E6" i="2"/>
  <c r="E7" i="2"/>
  <c r="E8" i="2"/>
  <c r="E9" i="2"/>
  <c r="E10" i="2"/>
  <c r="E12" i="2"/>
  <c r="E13" i="2"/>
  <c r="E14" i="2"/>
  <c r="E15" i="2"/>
  <c r="E16" i="2"/>
  <c r="E17" i="2"/>
  <c r="E18" i="2"/>
  <c r="E19" i="2"/>
  <c r="E20" i="2"/>
  <c r="E22" i="2"/>
  <c r="E23" i="2"/>
  <c r="E24" i="2"/>
  <c r="E25" i="2"/>
  <c r="E26" i="2"/>
  <c r="E27" i="2"/>
  <c r="E28" i="2"/>
  <c r="E29" i="2"/>
  <c r="E30" i="2"/>
  <c r="E32" i="2"/>
  <c r="E33" i="2"/>
  <c r="E34" i="2"/>
  <c r="E35" i="2"/>
  <c r="E36" i="2"/>
  <c r="E37" i="2"/>
  <c r="E38" i="2"/>
  <c r="E39" i="2"/>
  <c r="E40" i="2"/>
  <c r="E2" i="2"/>
  <c r="D3" i="2"/>
  <c r="D4" i="2"/>
  <c r="D5" i="2"/>
  <c r="D6" i="2"/>
  <c r="D7" i="2"/>
  <c r="D8" i="2"/>
  <c r="D9" i="2"/>
  <c r="D10" i="2"/>
  <c r="D12" i="2"/>
  <c r="D13" i="2"/>
  <c r="D14" i="2"/>
  <c r="D15" i="2"/>
  <c r="D16" i="2"/>
  <c r="D17" i="2"/>
  <c r="D18" i="2"/>
  <c r="D19" i="2"/>
  <c r="D20" i="2"/>
  <c r="D22" i="2"/>
  <c r="D23" i="2"/>
  <c r="D24" i="2"/>
  <c r="D25" i="2"/>
  <c r="D26" i="2"/>
  <c r="D27" i="2"/>
  <c r="D28" i="2"/>
  <c r="D29" i="2"/>
  <c r="D30" i="2"/>
  <c r="D32" i="2"/>
  <c r="D33" i="2"/>
  <c r="D34" i="2"/>
  <c r="D35" i="2"/>
  <c r="D36" i="2"/>
  <c r="D37" i="2"/>
  <c r="D38" i="2"/>
  <c r="D39" i="2"/>
  <c r="D40" i="2"/>
  <c r="D2" i="2"/>
  <c r="B3" i="2"/>
  <c r="B4" i="2"/>
  <c r="B5" i="2"/>
  <c r="B6" i="2"/>
  <c r="B7" i="2"/>
  <c r="B8" i="2"/>
  <c r="B9" i="2"/>
  <c r="B10" i="2"/>
  <c r="B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<sst xmlns="http://schemas.openxmlformats.org/spreadsheetml/2006/main" count="147" uniqueCount="63">
  <si>
    <t>x</t>
  </si>
  <si>
    <t>y</t>
  </si>
  <si>
    <t>SOC</t>
  </si>
  <si>
    <t>Temp C</t>
  </si>
  <si>
    <t>DCIR</t>
  </si>
  <si>
    <t>DCIR(Z)</t>
  </si>
  <si>
    <t>SOC^2</t>
  </si>
  <si>
    <t>TEMP</t>
  </si>
  <si>
    <t>TEMP^2</t>
  </si>
  <si>
    <t>SOC*TEMP</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</si>
  <si>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</si>
  <si>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</si>
  <si>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</si>
  <si>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</si>
  <si>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</si>
  <si>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</si>
  <si>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</si>
  <si>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</si>
  <si>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</si>
  <si>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</si>
  <si>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</si>
  <si>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</si>
  <si>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</si>
  <si>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</si>
  <si>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</si>
  <si>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</si>
  <si>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</si>
  <si>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</si>
  <si>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</si>
  <si>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</si>
  <si>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</si>
  <si>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</si>
  <si>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</si>
  <si>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</si>
  <si>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RESIDUAL OUTPUT</t>
  </si>
  <si>
    <t>Observation</t>
  </si>
  <si>
    <t>Predicted 0.01186667</t>
  </si>
  <si>
    <t>Residuals</t>
  </si>
  <si>
    <t>From Fit:</t>
  </si>
  <si>
    <t>&lt;-- This means that the battery  model is statistically significant!</t>
  </si>
  <si>
    <t>1.2953367876*10^-9 % chance the resulting model is from random chance.</t>
  </si>
  <si>
    <t>OCV table</t>
  </si>
  <si>
    <t>Temp (K)</t>
  </si>
  <si>
    <t>Temp (°C)</t>
  </si>
  <si>
    <t>a*X^2</t>
  </si>
  <si>
    <t>b*X</t>
  </si>
  <si>
    <t>c</t>
  </si>
  <si>
    <t>Quadratic fit</t>
  </si>
  <si>
    <t>SoC</t>
  </si>
  <si>
    <t>Derivatives At Temp (dU/dT)</t>
  </si>
  <si>
    <t>How to operate python script:</t>
  </si>
  <si>
    <t>On clanker (and hopefully on the server if I made a backup) there is a program called entropic_table_convert.py. Use it to convert the fuckass format fluent uses to xlsx. Use it like so:</t>
  </si>
  <si>
    <t>Then, throw the written VOC data into the table above. Then, copy the result back into the .xlsx that was created by converting the .tab file. Save it, close it, and then use the program again like this:</t>
  </si>
  <si>
    <t>Then write the dU/dT entropic heat table for the battery model, and bada bing bada boom.</t>
  </si>
  <si>
    <t>Soc</t>
  </si>
  <si>
    <t>OCV</t>
  </si>
  <si>
    <t>R1 Table</t>
  </si>
  <si>
    <t>R2 Table</t>
  </si>
  <si>
    <t>C1 Table</t>
  </si>
  <si>
    <t>C2 Table</t>
  </si>
  <si>
    <t>C1*R1 Table</t>
  </si>
  <si>
    <t>C2*R2 Table</t>
  </si>
  <si>
    <t>v2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</si>
</sst>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i/>
      <sz val="11"/>
      <color theme="1"/>
      <name val="Aptos Narrow"/>
      <family val="2"/>
      <scheme val="minor"/>
    </font>
    <font>
      <b/>
      <sz val="11"/>
      <color rgb="FFFFFFFF"/>
      <name val="Calibri"/>
      <family val="2"/>
    </font>
    <font>
      <b/>
      <sz val="11"/>
      <color rgb="FFFFFFFF"/>
      <name val="Calibri"/>
      <family val="2"/>
    </font>
  </fonts>
  <fills count="6">
    <fill>
      <patternFill patternType="none"/>
    </fill>
    <fill>
      <patternFill patternType="gray125"/>
    </fill>
    <fill>
      <patternFill patternType="solid">
        <fgColor rgb="FF305496"/>
      </patternFill>
    </fill>
    <fill>
      <patternFill patternType="solid">
        <fgColor theme="4" tint="0.79998168889431442"/>
        <bgColor indexed="64"/>
      </patternFill>
    </fill>
    <fill>
      <patternFill patternType="solid">
        <fgColor theme="4"/>
        <bgColor indexed="64"/>
      </patternFill>
    </fill>
    <fill>
      <patternFill patternType="solid">
        <fgColor theme="0"/>
        <bgColor indexed="64"/>
      </patternFill>
    </fill>
  </fills>
  <borders count="4">
    <border>
      <left/>
      <right/>
      <top/>
      <bottom/>
      <diagonal/>
    </border>
    <border>
      <left/>
      <right/>
      <top/>
      <bottom style="medium">
        <color indexed="64"/>
      </bottom>
      <diagonal/>
    </border>
    <border>
      <left/>
      <right/>
      <top style="medium">
        <color indexed="64"/>
      </top>
      <bottom style="thin">
        <color indexed="64"/>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14">
    <xf numFmtId="0" fontId="0" fillId="0" borderId="0" xfId="0"/>
    <xf numFmtId="0" fontId="1" fillId="0" borderId="0" xfId="0" applyFont="1"/>
    <xf numFmtId="0" fontId="0" fillId="0" borderId="1" xfId="0" applyBorder="1"/>
    <xf numFmtId="0" fontId="2" fillId="0" borderId="2" xfId="0" applyFont="1" applyBorder="1" applyAlignment="1">
      <alignment horizontal="center"/>
    </xf>
    <xf numFmtId="0" fontId="2" fillId="0" borderId="2" xfId="0" applyFont="1" applyBorder="1" applyAlignment="1">
      <alignment horizontal="centerContinuous"/>
    </xf>
    <xf numFmtId="11" fontId="0" fillId="0" borderId="0" xfId="0" applyNumberFormat="1"/>
    <xf numFmtId="0" fontId="3" fillId="2" borderId="3" xfId="0" applyFont="1" applyFill="1" applyBorder="1" applyAlignment="1">
      <alignment horizontal="center" vertical="center" wrapText="1"/>
    </xf>
    <xf numFmtId="0" fontId="0" fillId="0" borderId="3" xfId="0" applyBorder="1" applyAlignment="1">
      <alignment horizontal="center" vertical="center" wrapText="1"/>
    </xf>
    <xf numFmtId="0" fontId="0" fillId="0" borderId="0" xfId="0" applyAlignment="1">
      <alignment horizontal="center" vertical="center" wrapText="1"/>
    </xf>
    <xf numFmtId="0" fontId="0" fillId="3" borderId="3" xfId="0" applyFill="1" applyBorder="1" applyAlignment="1">
      <alignment horizontal="center" vertical="center" wrapText="1"/>
    </xf>
    <xf numFmtId="0" fontId="0" fillId="3" borderId="0" xfId="0" applyFill="1"/>
    <xf numFmtId="0" fontId="0" fillId="4" borderId="0" xfId="0" applyFill="1"/>
    <xf numFmtId="0" fontId="4" fillId="2" borderId="3" xfId="0" applyFont="1" applyFill="1" applyBorder="1" applyAlignment="1">
      <alignment horizontal="center" vertical="center" wrapText="1"/>
    </xf>
    <xf numFmtId="0" fontId="0" fillId="5" borderId="3" xfId="0"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Raw Surface</a:t>
            </a:r>
          </a:p>
        </c:rich>
      </c:tx>
      <c:overlay val="0"/>
      <c:spPr>
        <a:noFill/>
        <a:ln>
          <a:noFill/>
        </a:ln>
        <a:effectLst/>
      </c:spPr>
    </c:title>
    <c:autoTitleDeleted val="0"/>
    <c:view3D>
      <c:rotX val="30"/>
      <c:rotY val="30"/>
      <c:depthPercent val="100"/>
      <c:rAngAx val="0"/>
      <c:perspective val="0"/>
    </c:view3D>
    <c:floor>
      <c:thickness val="0"/>
      <c:spPr>
        <a:noFill/>
        <a:ln w="15875">
          <a:solidFill>
            <a:schemeClr val="tx1"/>
          </a:solidFill>
        </a:ln>
        <a:effectLst/>
        <a:scene3d>
          <a:camera prst="orthographicFront"/>
          <a:lightRig rig="threePt" dir="t"/>
        </a:scene3d>
        <a:sp3d contourW="15875">
          <a:contourClr>
            <a:schemeClr val="tx1"/>
          </a:contourClr>
        </a:sp3d>
      </c:spPr>
    </c:floor>
    <c:sideWall>
      <c:thickness val="0"/>
      <c:spPr>
        <a:noFill/>
        <a:ln>
          <a:solidFill>
            <a:schemeClr val="tx1"/>
          </a:solidFill>
        </a:ln>
        <a:effectLst/>
        <a:sp3d>
          <a:contourClr>
            <a:schemeClr val="tx1"/>
          </a:contourClr>
        </a:sp3d>
      </c:spPr>
    </c:sideWall>
    <c:backWall>
      <c:thickness val="0"/>
      <c:spPr>
        <a:noFill/>
        <a:ln>
          <a:solidFill>
            <a:schemeClr val="tx1"/>
          </a:solidFill>
        </a:ln>
        <a:effectLst/>
        <a:sp3d>
          <a:contourClr>
            <a:schemeClr val="tx1"/>
          </a:contourClr>
        </a:sp3d>
      </c:spPr>
    </c:backWall>
    <c:plotArea>
      <c:layout/>
      <c:surface3DChart>
        <c:wireframe val="0"/>
        <c:ser>
          <c:idx val="0"/>
          <c:order val="0"/>
          <c:tx>
            <c:strRef>
              <c:f>'DCIR Surface'!$C$6</c:f>
              <c:strCache>
                <c:ptCount val="1"/>
                <c:pt idx="0">
                  <c:v>27.5</c:v>
                </c:pt>
              </c:strCache>
            </c:strRef>
          </c:tx>
          <c:cat>
            <c:numRef>
              <c:f>'DCIR Surface'!$D$5:$M$5</c:f>
              <c:numCache>
                <c:formatCode>General</c:formatCode>
                <c:ptCount val="10"/>
                <c:pt idx="0">
                  <c:v>0.1</c:v>
                </c:pt>
                <c:pt idx="1">
                  <c:v>0.17777780000000001</c:v>
                </c:pt>
                <c:pt idx="2">
                  <c:v>0.25555559999999999</c:v>
                </c:pt>
                <c:pt idx="3">
                  <c:v>0.3333333</c:v>
                </c:pt>
                <c:pt idx="4">
                  <c:v>0.41111110000000001</c:v>
                </c:pt>
                <c:pt idx="5">
                  <c:v>0.48888890000000002</c:v>
                </c:pt>
                <c:pt idx="6">
                  <c:v>0.56666669999999997</c:v>
                </c:pt>
                <c:pt idx="7">
                  <c:v>0.64444440000000003</c:v>
                </c:pt>
                <c:pt idx="8">
                  <c:v>0.72222220000000004</c:v>
                </c:pt>
                <c:pt idx="9">
                  <c:v>5.8333300000000003E-3</c:v>
                </c:pt>
              </c:numCache>
            </c:numRef>
          </c:cat>
          <c:val>
            <c:numRef>
              <c:f>'DCIR Surface'!$D$6:$M$6</c:f>
              <c:numCache>
                <c:formatCode>General</c:formatCode>
                <c:ptCount val="10"/>
                <c:pt idx="0">
                  <c:v>8.6333299999999998E-3</c:v>
                </c:pt>
                <c:pt idx="1">
                  <c:v>7.15556E-3</c:v>
                </c:pt>
                <c:pt idx="2">
                  <c:v>6.1222200000000003E-3</c:v>
                </c:pt>
                <c:pt idx="3">
                  <c:v>5.5333300000000004E-3</c:v>
                </c:pt>
                <c:pt idx="4">
                  <c:v>5.3407400000000001E-3</c:v>
                </c:pt>
                <c:pt idx="5">
                  <c:v>5.3925900000000001E-3</c:v>
                </c:pt>
                <c:pt idx="6">
                  <c:v>5.4666699999999999E-3</c:v>
                </c:pt>
                <c:pt idx="7">
                  <c:v>5.6629599999999999E-3</c:v>
                </c:pt>
                <c:pt idx="8">
                  <c:v>5.8592599999999998E-3</c:v>
                </c:pt>
                <c:pt idx="9">
                  <c:v>5.8333300000000003E-3</c:v>
                </c:pt>
              </c:numCache>
            </c:numRef>
          </c:val>
          <c:extLst>
            <c:ext xmlns:c16="http://schemas.microsoft.com/office/drawing/2014/chart" uri="{C3380CC4-5D6E-409C-BE32-E72D297353CC}">
              <c16:uniqueId val="{00000000-2DF4-487D-A33C-5CEB3DDA33D7}"/>
            </c:ext>
          </c:extLst>
        </c:ser>
        <c:ser>
          <c:idx val="1"/>
          <c:order val="1"/>
          <c:tx>
            <c:strRef>
              <c:f>'DCIR Surface'!$C$7</c:f>
              <c:strCache>
                <c:ptCount val="1"/>
                <c:pt idx="0">
                  <c:v>30</c:v>
                </c:pt>
              </c:strCache>
            </c:strRef>
          </c:tx>
          <c:spPr>
            <a:solidFill>
              <a:schemeClr val="accent1"/>
            </a:solidFill>
            <a:ln/>
            <a:effectLst/>
            <a:sp3d/>
          </c:spPr>
          <c:cat>
            <c:numRef>
              <c:f>'DCIR Surface'!$D$5:$M$5</c:f>
              <c:numCache>
                <c:formatCode>General</c:formatCode>
                <c:ptCount val="10"/>
                <c:pt idx="0">
                  <c:v>0.1</c:v>
                </c:pt>
                <c:pt idx="1">
                  <c:v>0.17777780000000001</c:v>
                </c:pt>
                <c:pt idx="2">
                  <c:v>0.25555559999999999</c:v>
                </c:pt>
                <c:pt idx="3">
                  <c:v>0.3333333</c:v>
                </c:pt>
                <c:pt idx="4">
                  <c:v>0.41111110000000001</c:v>
                </c:pt>
                <c:pt idx="5">
                  <c:v>0.48888890000000002</c:v>
                </c:pt>
                <c:pt idx="6">
                  <c:v>0.56666669999999997</c:v>
                </c:pt>
                <c:pt idx="7">
                  <c:v>0.64444440000000003</c:v>
                </c:pt>
                <c:pt idx="8">
                  <c:v>0.72222220000000004</c:v>
                </c:pt>
                <c:pt idx="9">
                  <c:v>5.8333300000000003E-3</c:v>
                </c:pt>
              </c:numCache>
            </c:numRef>
          </c:cat>
          <c:val>
            <c:numRef>
              <c:f>'DCIR Surface'!$D$7:$M$7</c:f>
              <c:numCache>
                <c:formatCode>General</c:formatCode>
                <c:ptCount val="10"/>
                <c:pt idx="0">
                  <c:v>1.1866669999999999E-2</c:v>
                </c:pt>
                <c:pt idx="1">
                  <c:v>8.99259E-3</c:v>
                </c:pt>
                <c:pt idx="2">
                  <c:v>7.6740699999999998E-3</c:v>
                </c:pt>
                <c:pt idx="3">
                  <c:v>6.9111099999999998E-3</c:v>
                </c:pt>
                <c:pt idx="4">
                  <c:v>6.6481500000000002E-3</c:v>
                </c:pt>
                <c:pt idx="5">
                  <c:v>6.6481500000000002E-3</c:v>
                </c:pt>
                <c:pt idx="6">
                  <c:v>6.5277800000000004E-3</c:v>
                </c:pt>
                <c:pt idx="7">
                  <c:v>6.1574100000000003E-3</c:v>
                </c:pt>
                <c:pt idx="8">
                  <c:v>5.9963000000000004E-3</c:v>
                </c:pt>
                <c:pt idx="9">
                  <c:v>7.3000000000000001E-3</c:v>
                </c:pt>
              </c:numCache>
            </c:numRef>
          </c:val>
          <c:extLst>
            <c:ext xmlns:c16="http://schemas.microsoft.com/office/drawing/2014/chart" uri="{C3380CC4-5D6E-409C-BE32-E72D297353CC}">
              <c16:uniqueId val="{00000001-2DF4-487D-A33C-5CEB3DDA33D7}"/>
            </c:ext>
          </c:extLst>
        </c:ser>
        <c:ser>
          <c:idx val="2"/>
          <c:order val="2"/>
          <c:tx>
            <c:strRef>
              <c:f>'DCIR Surface'!$C$8</c:f>
              <c:strCache>
                <c:ptCount val="1"/>
                <c:pt idx="0">
                  <c:v>32.5</c:v>
                </c:pt>
              </c:strCache>
            </c:strRef>
          </c:tx>
          <c:spPr>
            <a:solidFill>
              <a:schemeClr val="accent2"/>
            </a:solidFill>
            <a:ln/>
            <a:effectLst/>
            <a:sp3d/>
          </c:spPr>
          <c:cat>
            <c:numRef>
              <c:f>'DCIR Surface'!$D$5:$M$5</c:f>
              <c:numCache>
                <c:formatCode>General</c:formatCode>
                <c:ptCount val="10"/>
                <c:pt idx="0">
                  <c:v>0.1</c:v>
                </c:pt>
                <c:pt idx="1">
                  <c:v>0.17777780000000001</c:v>
                </c:pt>
                <c:pt idx="2">
                  <c:v>0.25555559999999999</c:v>
                </c:pt>
                <c:pt idx="3">
                  <c:v>0.3333333</c:v>
                </c:pt>
                <c:pt idx="4">
                  <c:v>0.41111110000000001</c:v>
                </c:pt>
                <c:pt idx="5">
                  <c:v>0.48888890000000002</c:v>
                </c:pt>
                <c:pt idx="6">
                  <c:v>0.56666669999999997</c:v>
                </c:pt>
                <c:pt idx="7">
                  <c:v>0.64444440000000003</c:v>
                </c:pt>
                <c:pt idx="8">
                  <c:v>0.72222220000000004</c:v>
                </c:pt>
                <c:pt idx="9">
                  <c:v>5.8333300000000003E-3</c:v>
                </c:pt>
              </c:numCache>
            </c:numRef>
          </c:cat>
          <c:val>
            <c:numRef>
              <c:f>'DCIR Surface'!$D$8:$M$8</c:f>
              <c:numCache>
                <c:formatCode>General</c:formatCode>
                <c:ptCount val="10"/>
                <c:pt idx="0">
                  <c:v>1.09E-2</c:v>
                </c:pt>
                <c:pt idx="1">
                  <c:v>6.4555599999999999E-3</c:v>
                </c:pt>
                <c:pt idx="2">
                  <c:v>5.3814800000000001E-3</c:v>
                </c:pt>
                <c:pt idx="3">
                  <c:v>5.0777799999999996E-3</c:v>
                </c:pt>
                <c:pt idx="4">
                  <c:v>5.0000000000000001E-3</c:v>
                </c:pt>
                <c:pt idx="5">
                  <c:v>5.0444399999999999E-3</c:v>
                </c:pt>
                <c:pt idx="6">
                  <c:v>5.5111099999999996E-3</c:v>
                </c:pt>
                <c:pt idx="7">
                  <c:v>6.4074099999999997E-3</c:v>
                </c:pt>
                <c:pt idx="8">
                  <c:v>6.5222199999999996E-3</c:v>
                </c:pt>
                <c:pt idx="9">
                  <c:v>5.3666699999999996E-3</c:v>
                </c:pt>
              </c:numCache>
            </c:numRef>
          </c:val>
          <c:extLst>
            <c:ext xmlns:c16="http://schemas.microsoft.com/office/drawing/2014/chart" uri="{C3380CC4-5D6E-409C-BE32-E72D297353CC}">
              <c16:uniqueId val="{00000002-2DF4-487D-A33C-5CEB3DDA33D7}"/>
            </c:ext>
          </c:extLst>
        </c:ser>
        <c:ser>
          <c:idx val="3"/>
          <c:order val="3"/>
          <c:tx>
            <c:strRef>
              <c:f>'DCIR Surface'!$C$9</c:f>
              <c:strCache>
                <c:ptCount val="1"/>
                <c:pt idx="0">
                  <c:v>35</c:v>
                </c:pt>
              </c:strCache>
            </c:strRef>
          </c:tx>
          <c:spPr>
            <a:solidFill>
              <a:schemeClr val="accent3"/>
            </a:solidFill>
            <a:ln/>
            <a:effectLst/>
            <a:sp3d/>
          </c:spPr>
          <c:cat>
            <c:numRef>
              <c:f>'DCIR Surface'!$D$5:$M$5</c:f>
              <c:numCache>
                <c:formatCode>General</c:formatCode>
                <c:ptCount val="10"/>
                <c:pt idx="0">
                  <c:v>0.1</c:v>
                </c:pt>
                <c:pt idx="1">
                  <c:v>0.17777780000000001</c:v>
                </c:pt>
                <c:pt idx="2">
                  <c:v>0.25555559999999999</c:v>
                </c:pt>
                <c:pt idx="3">
                  <c:v>0.3333333</c:v>
                </c:pt>
                <c:pt idx="4">
                  <c:v>0.41111110000000001</c:v>
                </c:pt>
                <c:pt idx="5">
                  <c:v>0.48888890000000002</c:v>
                </c:pt>
                <c:pt idx="6">
                  <c:v>0.56666669999999997</c:v>
                </c:pt>
                <c:pt idx="7">
                  <c:v>0.64444440000000003</c:v>
                </c:pt>
                <c:pt idx="8">
                  <c:v>0.72222220000000004</c:v>
                </c:pt>
                <c:pt idx="9">
                  <c:v>5.8333300000000003E-3</c:v>
                </c:pt>
              </c:numCache>
            </c:numRef>
          </c:cat>
          <c:val>
            <c:numRef>
              <c:f>'DCIR Surface'!$D$9:$M$9</c:f>
              <c:numCache>
                <c:formatCode>General</c:formatCode>
                <c:ptCount val="10"/>
                <c:pt idx="0">
                  <c:v>1.0200000000000001E-2</c:v>
                </c:pt>
                <c:pt idx="1">
                  <c:v>7.9777800000000003E-3</c:v>
                </c:pt>
                <c:pt idx="2">
                  <c:v>6.7925900000000003E-3</c:v>
                </c:pt>
                <c:pt idx="3">
                  <c:v>6.1999999999999998E-3</c:v>
                </c:pt>
                <c:pt idx="4">
                  <c:v>6.0333299999999999E-3</c:v>
                </c:pt>
                <c:pt idx="5">
                  <c:v>5.4407400000000003E-3</c:v>
                </c:pt>
                <c:pt idx="6">
                  <c:v>5.1000000000000004E-3</c:v>
                </c:pt>
                <c:pt idx="7">
                  <c:v>5.7074099999999996E-3</c:v>
                </c:pt>
                <c:pt idx="8">
                  <c:v>5.0370399999999996E-3</c:v>
                </c:pt>
                <c:pt idx="9">
                  <c:v>5.0666699999999997E-3</c:v>
                </c:pt>
              </c:numCache>
            </c:numRef>
          </c:val>
          <c:extLst>
            <c:ext xmlns:c16="http://schemas.microsoft.com/office/drawing/2014/chart" uri="{C3380CC4-5D6E-409C-BE32-E72D297353CC}">
              <c16:uniqueId val="{00000003-2DF4-487D-A33C-5CEB3DDA33D7}"/>
            </c:ext>
          </c:extLst>
        </c:ser>
        <c:ser>
          <c:idx val="4"/>
          <c:order val="4"/>
          <c:tx>
            <c:strRef>
              <c:f>'DCIR Surface'!$C$10</c:f>
              <c:strCache>
                <c:ptCount val="1"/>
                <c:pt idx="0">
                  <c:v>37.4</c:v>
                </c:pt>
              </c:strCache>
            </c:strRef>
          </c:tx>
          <c:spPr>
            <a:solidFill>
              <a:schemeClr val="accent4"/>
            </a:solidFill>
            <a:ln/>
            <a:effectLst/>
            <a:sp3d/>
          </c:spPr>
          <c:cat>
            <c:numRef>
              <c:f>'DCIR Surface'!$D$5:$M$5</c:f>
              <c:numCache>
                <c:formatCode>General</c:formatCode>
                <c:ptCount val="10"/>
                <c:pt idx="0">
                  <c:v>0.1</c:v>
                </c:pt>
                <c:pt idx="1">
                  <c:v>0.17777780000000001</c:v>
                </c:pt>
                <c:pt idx="2">
                  <c:v>0.25555559999999999</c:v>
                </c:pt>
                <c:pt idx="3">
                  <c:v>0.3333333</c:v>
                </c:pt>
                <c:pt idx="4">
                  <c:v>0.41111110000000001</c:v>
                </c:pt>
                <c:pt idx="5">
                  <c:v>0.48888890000000002</c:v>
                </c:pt>
                <c:pt idx="6">
                  <c:v>0.56666669999999997</c:v>
                </c:pt>
                <c:pt idx="7">
                  <c:v>0.64444440000000003</c:v>
                </c:pt>
                <c:pt idx="8">
                  <c:v>0.72222220000000004</c:v>
                </c:pt>
                <c:pt idx="9">
                  <c:v>5.8333300000000003E-3</c:v>
                </c:pt>
              </c:numCache>
            </c:numRef>
          </c:cat>
          <c:val>
            <c:numRef>
              <c:f>'DCIR Surface'!$D$10:$M$10</c:f>
              <c:numCache>
                <c:formatCode>General</c:formatCode>
                <c:ptCount val="10"/>
                <c:pt idx="0">
                  <c:v>6.1999999999999998E-3</c:v>
                </c:pt>
                <c:pt idx="1">
                  <c:v>5.3185200000000002E-3</c:v>
                </c:pt>
                <c:pt idx="2">
                  <c:v>4.8074099999999998E-3</c:v>
                </c:pt>
                <c:pt idx="3">
                  <c:v>4.5222200000000004E-3</c:v>
                </c:pt>
                <c:pt idx="4">
                  <c:v>4.35185E-3</c:v>
                </c:pt>
                <c:pt idx="5">
                  <c:v>4.24815E-3</c:v>
                </c:pt>
                <c:pt idx="6">
                  <c:v>4.4111100000000002E-3</c:v>
                </c:pt>
                <c:pt idx="7">
                  <c:v>4.4407400000000003E-3</c:v>
                </c:pt>
                <c:pt idx="8">
                  <c:v>4.4629600000000002E-3</c:v>
                </c:pt>
                <c:pt idx="9">
                  <c:v>4.7999999999999996E-3</c:v>
                </c:pt>
              </c:numCache>
            </c:numRef>
          </c:val>
          <c:extLst>
            <c:ext xmlns:c16="http://schemas.microsoft.com/office/drawing/2014/chart" uri="{C3380CC4-5D6E-409C-BE32-E72D297353CC}">
              <c16:uniqueId val="{0000000F-4170-4BF8-9A87-3397F3C6C708}"/>
            </c:ext>
          </c:extLst>
        </c:ser>
        <c:ser>
          <c:idx val="5"/>
          <c:order val="5"/>
          <c:tx>
            <c:strRef>
              <c:f>'DCIR Surface'!$C$11</c:f>
              <c:strCache>
                <c:ptCount val="1"/>
                <c:pt idx="0">
                  <c:v>42.5</c:v>
                </c:pt>
              </c:strCache>
            </c:strRef>
          </c:tx>
          <c:cat>
            <c:numRef>
              <c:f>'DCIR Surface'!$D$5:$M$5</c:f>
              <c:numCache>
                <c:formatCode>General</c:formatCode>
                <c:ptCount val="10"/>
                <c:pt idx="0">
                  <c:v>0.1</c:v>
                </c:pt>
                <c:pt idx="1">
                  <c:v>0.17777780000000001</c:v>
                </c:pt>
                <c:pt idx="2">
                  <c:v>0.25555559999999999</c:v>
                </c:pt>
                <c:pt idx="3">
                  <c:v>0.3333333</c:v>
                </c:pt>
                <c:pt idx="4">
                  <c:v>0.41111110000000001</c:v>
                </c:pt>
                <c:pt idx="5">
                  <c:v>0.48888890000000002</c:v>
                </c:pt>
                <c:pt idx="6">
                  <c:v>0.56666669999999997</c:v>
                </c:pt>
                <c:pt idx="7">
                  <c:v>0.64444440000000003</c:v>
                </c:pt>
                <c:pt idx="8">
                  <c:v>0.72222220000000004</c:v>
                </c:pt>
                <c:pt idx="9">
                  <c:v>5.8333300000000003E-3</c:v>
                </c:pt>
              </c:numCache>
            </c:numRef>
          </c:cat>
          <c:val>
            <c:numRef>
              <c:f>'DCIR Surface'!$D$11:$M$11</c:f>
              <c:numCache>
                <c:formatCode>General</c:formatCode>
                <c:ptCount val="10"/>
                <c:pt idx="0">
                  <c:v>5.6666700000000004E-3</c:v>
                </c:pt>
                <c:pt idx="1">
                  <c:v>4.9407399999999999E-3</c:v>
                </c:pt>
                <c:pt idx="2">
                  <c:v>4.4000000000000003E-3</c:v>
                </c:pt>
                <c:pt idx="3">
                  <c:v>4.1111100000000003E-3</c:v>
                </c:pt>
                <c:pt idx="4">
                  <c:v>4.0740699999999999E-3</c:v>
                </c:pt>
                <c:pt idx="5">
                  <c:v>4.1259299999999999E-3</c:v>
                </c:pt>
                <c:pt idx="6">
                  <c:v>4.1999999999999997E-3</c:v>
                </c:pt>
                <c:pt idx="7">
                  <c:v>4.0851899999999998E-3</c:v>
                </c:pt>
                <c:pt idx="8">
                  <c:v>3.9370400000000002E-3</c:v>
                </c:pt>
                <c:pt idx="9">
                  <c:v>4.0666699999999997E-3</c:v>
                </c:pt>
              </c:numCache>
            </c:numRef>
          </c:val>
          <c:extLst>
            <c:ext xmlns:c16="http://schemas.microsoft.com/office/drawing/2014/chart" uri="{C3380CC4-5D6E-409C-BE32-E72D297353CC}">
              <c16:uniqueId val="{00000010-4170-4BF8-9A87-3397F3C6C708}"/>
            </c:ext>
          </c:extLst>
        </c:ser>
        <c:ser>
          <c:idx val="6"/>
          <c:order val="6"/>
          <c:tx>
            <c:strRef>
              <c:f>'DCIR Surface'!$C$12</c:f>
              <c:strCache>
                <c:ptCount val="1"/>
                <c:pt idx="0">
                  <c:v>45</c:v>
                </c:pt>
              </c:strCache>
            </c:strRef>
          </c:tx>
          <c:cat>
            <c:numRef>
              <c:f>'DCIR Surface'!$D$5:$M$5</c:f>
              <c:numCache>
                <c:formatCode>General</c:formatCode>
                <c:ptCount val="10"/>
                <c:pt idx="0">
                  <c:v>0.1</c:v>
                </c:pt>
                <c:pt idx="1">
                  <c:v>0.17777780000000001</c:v>
                </c:pt>
                <c:pt idx="2">
                  <c:v>0.25555559999999999</c:v>
                </c:pt>
                <c:pt idx="3">
                  <c:v>0.3333333</c:v>
                </c:pt>
                <c:pt idx="4">
                  <c:v>0.41111110000000001</c:v>
                </c:pt>
                <c:pt idx="5">
                  <c:v>0.48888890000000002</c:v>
                </c:pt>
                <c:pt idx="6">
                  <c:v>0.56666669999999997</c:v>
                </c:pt>
                <c:pt idx="7">
                  <c:v>0.64444440000000003</c:v>
                </c:pt>
                <c:pt idx="8">
                  <c:v>0.72222220000000004</c:v>
                </c:pt>
                <c:pt idx="9">
                  <c:v>5.8333300000000003E-3</c:v>
                </c:pt>
              </c:numCache>
            </c:numRef>
          </c:cat>
          <c:val>
            <c:numRef>
              <c:f>'DCIR Surface'!$D$12:$M$12</c:f>
              <c:numCache>
                <c:formatCode>General</c:formatCode>
                <c:ptCount val="10"/>
                <c:pt idx="0">
                  <c:v>5.2333299999999996E-3</c:v>
                </c:pt>
                <c:pt idx="1">
                  <c:v>4.6370400000000003E-3</c:v>
                </c:pt>
                <c:pt idx="2">
                  <c:v>4.1703699999999996E-3</c:v>
                </c:pt>
                <c:pt idx="3">
                  <c:v>3.9111099999999998E-3</c:v>
                </c:pt>
                <c:pt idx="4">
                  <c:v>3.8592600000000002E-3</c:v>
                </c:pt>
                <c:pt idx="5">
                  <c:v>3.8074099999999998E-3</c:v>
                </c:pt>
                <c:pt idx="6">
                  <c:v>3.8222199999999999E-3</c:v>
                </c:pt>
                <c:pt idx="7">
                  <c:v>3.8333299999999998E-3</c:v>
                </c:pt>
                <c:pt idx="8">
                  <c:v>3.9370400000000002E-3</c:v>
                </c:pt>
                <c:pt idx="9">
                  <c:v>4.3E-3</c:v>
                </c:pt>
              </c:numCache>
            </c:numRef>
          </c:val>
          <c:extLst>
            <c:ext xmlns:c16="http://schemas.microsoft.com/office/drawing/2014/chart" uri="{C3380CC4-5D6E-409C-BE32-E72D297353CC}">
              <c16:uniqueId val="{00000011-4170-4BF8-9A87-3397F3C6C708}"/>
            </c:ext>
          </c:extLst>
        </c:ser>
        <c:bandFmts>
          <c:bandFmt>
            <c:idx val="10"/>
            <c:spPr>
              <a:solidFill>
                <a:schemeClr val="accent5">
                  <a:lumMod val="60000"/>
                </a:schemeClr>
              </a:solidFill>
              <a:ln/>
              <a:effectLst/>
              <a:sp3d/>
            </c:spPr>
          </c:bandFmt>
          <c:bandFmt>
            <c:idx val="11"/>
            <c:spPr>
              <a:solidFill>
                <a:schemeClr val="accent6">
                  <a:lumMod val="60000"/>
                </a:schemeClr>
              </a:solidFill>
              <a:ln/>
              <a:effectLst/>
              <a:sp3d/>
            </c:spPr>
          </c:bandFmt>
          <c:bandFmt>
            <c:idx val="12"/>
            <c:spPr>
              <a:solidFill>
                <a:schemeClr val="accent1">
                  <a:lumMod val="80000"/>
                  <a:lumOff val="20000"/>
                </a:schemeClr>
              </a:solidFill>
              <a:ln/>
              <a:effectLst/>
              <a:sp3d/>
            </c:spPr>
          </c:bandFmt>
          <c:bandFmt>
            <c:idx val="13"/>
            <c:spPr>
              <a:solidFill>
                <a:schemeClr val="accent2">
                  <a:lumMod val="80000"/>
                  <a:lumOff val="20000"/>
                </a:schemeClr>
              </a:solidFill>
              <a:ln/>
              <a:effectLst/>
              <a:sp3d/>
            </c:spPr>
          </c:bandFmt>
          <c:bandFmt>
            <c:idx val="14"/>
            <c:spPr>
              <a:solidFill>
                <a:schemeClr val="accent3">
                  <a:lumMod val="80000"/>
                  <a:lumOff val="20000"/>
                </a:schemeClr>
              </a:solidFill>
              <a:ln/>
              <a:effectLst/>
              <a:sp3d/>
            </c:spPr>
          </c:bandFmt>
        </c:bandFmts>
        <c:axId val="1576365439"/>
        <c:axId val="1576365919"/>
        <c:axId val="1675763839"/>
      </c:surface3DChart>
      <c:catAx>
        <c:axId val="15763654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2000">
                    <a:solidFill>
                      <a:schemeClr val="tx1"/>
                    </a:solidFill>
                  </a:rPr>
                  <a:t>SOC</a:t>
                </a:r>
              </a:p>
            </c:rich>
          </c:tx>
          <c:overlay val="0"/>
          <c:spPr>
            <a:noFill/>
            <a:ln>
              <a:noFill/>
            </a:ln>
            <a:effectLst/>
          </c:sp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365919"/>
        <c:crosses val="autoZero"/>
        <c:auto val="1"/>
        <c:lblAlgn val="ctr"/>
        <c:lblOffset val="100"/>
        <c:noMultiLvlLbl val="0"/>
      </c:catAx>
      <c:valAx>
        <c:axId val="1576365919"/>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2000">
                    <a:solidFill>
                      <a:schemeClr val="tx1"/>
                    </a:solidFill>
                  </a:rPr>
                  <a:t>DCIR (Ohms)</a:t>
                </a:r>
              </a:p>
            </c:rich>
          </c:tx>
          <c:layout>
            <c:manualLayout>
              <c:xMode val="edge"/>
              <c:yMode val="edge"/>
              <c:x val="5.8126272086834858E-2"/>
              <c:y val="0.22441072582957744"/>
            </c:manualLayout>
          </c:layout>
          <c:overlay val="0"/>
          <c:spPr>
            <a:noFill/>
            <a:ln>
              <a:noFill/>
            </a:ln>
            <a:effectLst/>
          </c:spPr>
        </c:title>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365439"/>
        <c:crosses val="autoZero"/>
        <c:crossBetween val="midCat"/>
      </c:valAx>
      <c:serAx>
        <c:axId val="1675763839"/>
        <c:scaling>
          <c:orientation val="minMax"/>
        </c:scaling>
        <c:delete val="0"/>
        <c:axPos val="b"/>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2000">
                    <a:solidFill>
                      <a:schemeClr val="tx1"/>
                    </a:solidFill>
                  </a:rPr>
                  <a:t>Temp</a:t>
                </a:r>
                <a:r>
                  <a:rPr lang="en-US" sz="2000" baseline="0">
                    <a:solidFill>
                      <a:schemeClr val="tx1"/>
                    </a:solidFill>
                  </a:rPr>
                  <a:t> (C)</a:t>
                </a:r>
                <a:endParaRPr lang="en-US" sz="2000">
                  <a:solidFill>
                    <a:schemeClr val="tx1"/>
                  </a:solidFill>
                </a:endParaRPr>
              </a:p>
            </c:rich>
          </c:tx>
          <c:overlay val="0"/>
          <c:spPr>
            <a:noFill/>
            <a:ln>
              <a:noFill/>
            </a:ln>
            <a:effectLst/>
          </c:spPr>
        </c:title>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365919"/>
        <c:crosses val="autoZero"/>
      </c:ser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view3D>
      <c:rotX val="30"/>
      <c:rotY val="30"/>
      <c:depthPercent val="100"/>
      <c:rAngAx val="0"/>
      <c:perspective val="0"/>
    </c:view3D>
    <c:floor>
      <c:thickness val="0"/>
      <c:spPr>
        <a:noFill/>
        <a:ln w="15875">
          <a:solidFill>
            <a:schemeClr val="tx1"/>
          </a:solidFill>
        </a:ln>
        <a:effectLst/>
        <a:scene3d>
          <a:camera prst="orthographicFront"/>
          <a:lightRig rig="threePt" dir="t"/>
        </a:scene3d>
        <a:sp3d contourW="15875">
          <a:contourClr>
            <a:schemeClr val="tx1"/>
          </a:contourClr>
        </a:sp3d>
      </c:spPr>
    </c:floor>
    <c:sideWall>
      <c:thickness val="0"/>
      <c:spPr>
        <a:noFill/>
        <a:ln>
          <a:solidFill>
            <a:schemeClr val="tx1"/>
          </a:solidFill>
        </a:ln>
        <a:effectLst/>
      </c:spPr>
    </c:sideWall>
    <c:backWall>
      <c:thickness val="0"/>
      <c:spPr>
        <a:noFill/>
        <a:ln>
          <a:solidFill>
            <a:schemeClr val="tx1"/>
          </a:solidFill>
        </a:ln>
        <a:effectLst/>
      </c:spPr>
    </c:backWall>
    <c:plotArea>
      <c:layout/>
      <c:surface3DChart>
        <c:wireframe val="0"/>
        <c:ser>
          <c:idx val="0"/>
          <c:order val="0"/>
          <c:tx>
            <c:strRef>
              <c:f>Interpolation!$S$3</c:f>
              <c:strCache>
                <c:ptCount val="1"/>
                <c:pt idx="0">
                  <c:v>30</c:v>
                </c:pt>
              </c:strCache>
            </c:strRef>
          </c:tx>
          <c:spPr>
            <a:solidFill>
              <a:schemeClr val="accent1"/>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Interpolation!$T$3:$CV$3</c:f>
              <c:numCache>
                <c:formatCode>General</c:formatCode>
                <c:ptCount val="81"/>
                <c:pt idx="0">
                  <c:v>1.0511103066498132E-2</c:v>
                </c:pt>
                <c:pt idx="1">
                  <c:v>1.034665509857827E-2</c:v>
                </c:pt>
                <c:pt idx="2">
                  <c:v>1.01853170838214E-2</c:v>
                </c:pt>
                <c:pt idx="3">
                  <c:v>1.0027089022227527E-2</c:v>
                </c:pt>
                <c:pt idx="4">
                  <c:v>9.8719709137966467E-3</c:v>
                </c:pt>
                <c:pt idx="5">
                  <c:v>9.7199627585287454E-3</c:v>
                </c:pt>
                <c:pt idx="6">
                  <c:v>9.57106455642384E-3</c:v>
                </c:pt>
                <c:pt idx="7">
                  <c:v>9.4252763074819147E-3</c:v>
                </c:pt>
                <c:pt idx="8">
                  <c:v>9.2825980117029958E-3</c:v>
                </c:pt>
                <c:pt idx="9">
                  <c:v>9.1430296690870726E-3</c:v>
                </c:pt>
                <c:pt idx="10">
                  <c:v>9.0065712796341298E-3</c:v>
                </c:pt>
                <c:pt idx="11">
                  <c:v>8.8732228433441793E-3</c:v>
                </c:pt>
                <c:pt idx="12">
                  <c:v>8.7429843602172246E-3</c:v>
                </c:pt>
                <c:pt idx="13">
                  <c:v>8.6158558302532641E-3</c:v>
                </c:pt>
                <c:pt idx="14">
                  <c:v>8.4918372534522821E-3</c:v>
                </c:pt>
                <c:pt idx="15">
                  <c:v>8.3709286298143028E-3</c:v>
                </c:pt>
                <c:pt idx="16">
                  <c:v>8.2531299593393108E-3</c:v>
                </c:pt>
                <c:pt idx="17">
                  <c:v>8.1384412420273042E-3</c:v>
                </c:pt>
                <c:pt idx="18">
                  <c:v>8.0268624778783004E-3</c:v>
                </c:pt>
                <c:pt idx="19">
                  <c:v>7.9183936668922837E-3</c:v>
                </c:pt>
                <c:pt idx="20">
                  <c:v>7.8130348090692525E-3</c:v>
                </c:pt>
                <c:pt idx="21">
                  <c:v>7.7107859044092241E-3</c:v>
                </c:pt>
                <c:pt idx="22">
                  <c:v>7.6116469529121829E-3</c:v>
                </c:pt>
                <c:pt idx="23">
                  <c:v>7.515617954578128E-3</c:v>
                </c:pt>
                <c:pt idx="24">
                  <c:v>7.4226989094070672E-3</c:v>
                </c:pt>
                <c:pt idx="25">
                  <c:v>7.3328898173989944E-3</c:v>
                </c:pt>
                <c:pt idx="26">
                  <c:v>7.2461906785539218E-3</c:v>
                </c:pt>
                <c:pt idx="27">
                  <c:v>7.1626014928718373E-3</c:v>
                </c:pt>
                <c:pt idx="28">
                  <c:v>7.0821222603527391E-3</c:v>
                </c:pt>
                <c:pt idx="29">
                  <c:v>7.004752980996635E-3</c:v>
                </c:pt>
                <c:pt idx="30">
                  <c:v>6.930493654803525E-3</c:v>
                </c:pt>
                <c:pt idx="31">
                  <c:v>6.8593442817734031E-3</c:v>
                </c:pt>
                <c:pt idx="32">
                  <c:v>6.7913048619062753E-3</c:v>
                </c:pt>
                <c:pt idx="33">
                  <c:v>6.7263753952021338E-3</c:v>
                </c:pt>
                <c:pt idx="34">
                  <c:v>6.6645558816609864E-3</c:v>
                </c:pt>
                <c:pt idx="35">
                  <c:v>6.605846321282834E-3</c:v>
                </c:pt>
                <c:pt idx="36">
                  <c:v>6.5502467140676679E-3</c:v>
                </c:pt>
                <c:pt idx="37">
                  <c:v>6.4977570600154959E-3</c:v>
                </c:pt>
                <c:pt idx="38">
                  <c:v>6.4483773591263189E-3</c:v>
                </c:pt>
                <c:pt idx="39">
                  <c:v>6.4021076114001282E-3</c:v>
                </c:pt>
                <c:pt idx="40">
                  <c:v>6.3589478168369247E-3</c:v>
                </c:pt>
                <c:pt idx="41">
                  <c:v>6.3188979754367162E-3</c:v>
                </c:pt>
                <c:pt idx="42">
                  <c:v>6.2819580871995009E-3</c:v>
                </c:pt>
                <c:pt idx="43">
                  <c:v>6.2481281521252797E-3</c:v>
                </c:pt>
                <c:pt idx="44">
                  <c:v>6.2174081702140466E-3</c:v>
                </c:pt>
                <c:pt idx="45">
                  <c:v>6.1897981414658068E-3</c:v>
                </c:pt>
                <c:pt idx="46">
                  <c:v>6.1652980658805541E-3</c:v>
                </c:pt>
                <c:pt idx="47">
                  <c:v>6.1439079434582964E-3</c:v>
                </c:pt>
                <c:pt idx="48">
                  <c:v>6.1256277741990319E-3</c:v>
                </c:pt>
                <c:pt idx="49">
                  <c:v>6.1104575581027555E-3</c:v>
                </c:pt>
                <c:pt idx="50">
                  <c:v>6.0983972951694655E-3</c:v>
                </c:pt>
                <c:pt idx="51">
                  <c:v>6.0894469853991773E-3</c:v>
                </c:pt>
                <c:pt idx="52">
                  <c:v>6.0836066287918754E-3</c:v>
                </c:pt>
                <c:pt idx="53">
                  <c:v>6.0808762253475607E-3</c:v>
                </c:pt>
                <c:pt idx="54">
                  <c:v>6.0812557750662402E-3</c:v>
                </c:pt>
                <c:pt idx="55">
                  <c:v>6.0847452779479215E-3</c:v>
                </c:pt>
                <c:pt idx="56">
                  <c:v>6.0913447339925823E-3</c:v>
                </c:pt>
                <c:pt idx="57">
                  <c:v>6.1010541432002371E-3</c:v>
                </c:pt>
                <c:pt idx="58">
                  <c:v>6.1138735055708791E-3</c:v>
                </c:pt>
                <c:pt idx="59">
                  <c:v>6.1298028211045231E-3</c:v>
                </c:pt>
                <c:pt idx="60">
                  <c:v>6.1488420898011473E-3</c:v>
                </c:pt>
                <c:pt idx="61">
                  <c:v>6.1709913116607716E-3</c:v>
                </c:pt>
                <c:pt idx="62">
                  <c:v>6.1962504866833763E-3</c:v>
                </c:pt>
                <c:pt idx="63">
                  <c:v>6.2246196148689897E-3</c:v>
                </c:pt>
                <c:pt idx="64">
                  <c:v>6.2560986962175835E-3</c:v>
                </c:pt>
                <c:pt idx="65">
                  <c:v>6.2906877307291626E-3</c:v>
                </c:pt>
                <c:pt idx="66">
                  <c:v>6.3283867184037446E-3</c:v>
                </c:pt>
                <c:pt idx="67">
                  <c:v>6.3691956592413128E-3</c:v>
                </c:pt>
                <c:pt idx="68">
                  <c:v>6.4131145532418752E-3</c:v>
                </c:pt>
                <c:pt idx="69">
                  <c:v>6.4601434004054256E-3</c:v>
                </c:pt>
                <c:pt idx="70">
                  <c:v>6.5102822007319693E-3</c:v>
                </c:pt>
                <c:pt idx="71">
                  <c:v>6.5635309542215001E-3</c:v>
                </c:pt>
                <c:pt idx="72">
                  <c:v>6.619889660874026E-3</c:v>
                </c:pt>
                <c:pt idx="73">
                  <c:v>6.6793583206895459E-3</c:v>
                </c:pt>
                <c:pt idx="74">
                  <c:v>6.7419369336680452E-3</c:v>
                </c:pt>
                <c:pt idx="75">
                  <c:v>6.8076254998095526E-3</c:v>
                </c:pt>
                <c:pt idx="76">
                  <c:v>6.876424019114041E-3</c:v>
                </c:pt>
                <c:pt idx="77">
                  <c:v>6.9483324915815218E-3</c:v>
                </c:pt>
                <c:pt idx="78">
                  <c:v>7.0233509172119984E-3</c:v>
                </c:pt>
                <c:pt idx="79">
                  <c:v>7.1014792960054692E-3</c:v>
                </c:pt>
                <c:pt idx="80">
                  <c:v>7.1827176279619194E-3</c:v>
                </c:pt>
              </c:numCache>
            </c:numRef>
          </c:val>
          <c:extLst>
            <c:ext xmlns:c16="http://schemas.microsoft.com/office/drawing/2014/chart" uri="{C3380CC4-5D6E-409C-BE32-E72D297353CC}">
              <c16:uniqueId val="{00000000-2DF4-487D-A33C-5CEB3DDA33D7}"/>
            </c:ext>
          </c:extLst>
        </c:ser>
        <c:ser>
          <c:idx val="1"/>
          <c:order val="1"/>
          <c:tx>
            <c:strRef>
              <c:f>Interpolation!$S$4</c:f>
              <c:strCache>
                <c:ptCount val="1"/>
                <c:pt idx="0">
                  <c:v>30.1</c:v>
                </c:pt>
              </c:strCache>
            </c:strRef>
          </c:tx>
          <c:spPr>
            <a:solidFill>
              <a:schemeClr val="accent2"/>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Interpolation!$T$4:$CV$4</c:f>
              <c:numCache>
                <c:formatCode>General</c:formatCode>
                <c:ptCount val="81"/>
                <c:pt idx="0">
                  <c:v>1.0467830350857743E-2</c:v>
                </c:pt>
                <c:pt idx="1">
                  <c:v>1.0303287152355147E-2</c:v>
                </c:pt>
                <c:pt idx="2">
                  <c:v>1.0141853907015545E-2</c:v>
                </c:pt>
                <c:pt idx="3">
                  <c:v>9.9835306148389376E-3</c:v>
                </c:pt>
                <c:pt idx="4">
                  <c:v>9.828317275825324E-3</c:v>
                </c:pt>
                <c:pt idx="5">
                  <c:v>9.6762138899746906E-3</c:v>
                </c:pt>
                <c:pt idx="6">
                  <c:v>9.5272204572870514E-3</c:v>
                </c:pt>
                <c:pt idx="7">
                  <c:v>9.3813369777623924E-3</c:v>
                </c:pt>
                <c:pt idx="8">
                  <c:v>9.2385634514007414E-3</c:v>
                </c:pt>
                <c:pt idx="9">
                  <c:v>9.0988998782020845E-3</c:v>
                </c:pt>
                <c:pt idx="10">
                  <c:v>8.9623462581664079E-3</c:v>
                </c:pt>
                <c:pt idx="11">
                  <c:v>8.8289025912937254E-3</c:v>
                </c:pt>
                <c:pt idx="12">
                  <c:v>8.698568877584037E-3</c:v>
                </c:pt>
                <c:pt idx="13">
                  <c:v>8.5713451170373427E-3</c:v>
                </c:pt>
                <c:pt idx="14">
                  <c:v>8.4472313096536286E-3</c:v>
                </c:pt>
                <c:pt idx="15">
                  <c:v>8.3262274554329156E-3</c:v>
                </c:pt>
                <c:pt idx="16">
                  <c:v>8.2083335543751898E-3</c:v>
                </c:pt>
                <c:pt idx="17">
                  <c:v>8.0935496064804512E-3</c:v>
                </c:pt>
                <c:pt idx="18">
                  <c:v>7.9818756117487136E-3</c:v>
                </c:pt>
                <c:pt idx="19">
                  <c:v>7.8733115701799632E-3</c:v>
                </c:pt>
                <c:pt idx="20">
                  <c:v>7.7678574817741999E-3</c:v>
                </c:pt>
                <c:pt idx="21">
                  <c:v>7.6655133465314378E-3</c:v>
                </c:pt>
                <c:pt idx="22">
                  <c:v>7.5662791644516628E-3</c:v>
                </c:pt>
                <c:pt idx="23">
                  <c:v>7.4701549355348749E-3</c:v>
                </c:pt>
                <c:pt idx="24">
                  <c:v>7.3771406597810812E-3</c:v>
                </c:pt>
                <c:pt idx="25">
                  <c:v>7.2872363371902747E-3</c:v>
                </c:pt>
                <c:pt idx="26">
                  <c:v>7.2004419677624693E-3</c:v>
                </c:pt>
                <c:pt idx="27">
                  <c:v>7.116757551497651E-3</c:v>
                </c:pt>
                <c:pt idx="28">
                  <c:v>7.0361830883958199E-3</c:v>
                </c:pt>
                <c:pt idx="29">
                  <c:v>6.9587185784569829E-3</c:v>
                </c:pt>
                <c:pt idx="30">
                  <c:v>6.88436402168114E-3</c:v>
                </c:pt>
                <c:pt idx="31">
                  <c:v>6.8131194180682843E-3</c:v>
                </c:pt>
                <c:pt idx="32">
                  <c:v>6.7449847676184227E-3</c:v>
                </c:pt>
                <c:pt idx="33">
                  <c:v>6.6799600703315483E-3</c:v>
                </c:pt>
                <c:pt idx="34">
                  <c:v>6.618045326207668E-3</c:v>
                </c:pt>
                <c:pt idx="35">
                  <c:v>6.5592405352467818E-3</c:v>
                </c:pt>
                <c:pt idx="36">
                  <c:v>6.5035456974488828E-3</c:v>
                </c:pt>
                <c:pt idx="37">
                  <c:v>6.450960812813978E-3</c:v>
                </c:pt>
                <c:pt idx="38">
                  <c:v>6.4014858813420672E-3</c:v>
                </c:pt>
                <c:pt idx="39">
                  <c:v>6.3551209030331436E-3</c:v>
                </c:pt>
                <c:pt idx="40">
                  <c:v>6.3118658778872072E-3</c:v>
                </c:pt>
                <c:pt idx="41">
                  <c:v>6.2717208059042649E-3</c:v>
                </c:pt>
                <c:pt idx="42">
                  <c:v>6.2346856870843168E-3</c:v>
                </c:pt>
                <c:pt idx="43">
                  <c:v>6.2007605214273627E-3</c:v>
                </c:pt>
                <c:pt idx="44">
                  <c:v>6.1699453089333958E-3</c:v>
                </c:pt>
                <c:pt idx="45">
                  <c:v>6.1422400496024231E-3</c:v>
                </c:pt>
                <c:pt idx="46">
                  <c:v>6.1176447434344375E-3</c:v>
                </c:pt>
                <c:pt idx="47">
                  <c:v>6.096159390429446E-3</c:v>
                </c:pt>
                <c:pt idx="48">
                  <c:v>6.0777839905874487E-3</c:v>
                </c:pt>
                <c:pt idx="49">
                  <c:v>6.0625185439084385E-3</c:v>
                </c:pt>
                <c:pt idx="50">
                  <c:v>6.0503630503924155E-3</c:v>
                </c:pt>
                <c:pt idx="51">
                  <c:v>6.0413175100393936E-3</c:v>
                </c:pt>
                <c:pt idx="52">
                  <c:v>6.0353819228493588E-3</c:v>
                </c:pt>
                <c:pt idx="53">
                  <c:v>6.0325562888223112E-3</c:v>
                </c:pt>
                <c:pt idx="54">
                  <c:v>6.0328406079582578E-3</c:v>
                </c:pt>
                <c:pt idx="55">
                  <c:v>6.0362348802572054E-3</c:v>
                </c:pt>
                <c:pt idx="56">
                  <c:v>6.0427391057191323E-3</c:v>
                </c:pt>
                <c:pt idx="57">
                  <c:v>6.0523532843440543E-3</c:v>
                </c:pt>
                <c:pt idx="58">
                  <c:v>6.0650774161319643E-3</c:v>
                </c:pt>
                <c:pt idx="59">
                  <c:v>6.0809115010828745E-3</c:v>
                </c:pt>
                <c:pt idx="60">
                  <c:v>6.0998555391967649E-3</c:v>
                </c:pt>
                <c:pt idx="61">
                  <c:v>6.1219095304736564E-3</c:v>
                </c:pt>
                <c:pt idx="62">
                  <c:v>6.1470734749135281E-3</c:v>
                </c:pt>
                <c:pt idx="63">
                  <c:v>6.1753473725164078E-3</c:v>
                </c:pt>
                <c:pt idx="64">
                  <c:v>6.2067312232822677E-3</c:v>
                </c:pt>
                <c:pt idx="65">
                  <c:v>6.2412250272111149E-3</c:v>
                </c:pt>
                <c:pt idx="66">
                  <c:v>6.278828784302963E-3</c:v>
                </c:pt>
                <c:pt idx="67">
                  <c:v>6.3195424945577984E-3</c:v>
                </c:pt>
                <c:pt idx="68">
                  <c:v>6.3633661579756279E-3</c:v>
                </c:pt>
                <c:pt idx="69">
                  <c:v>6.4102997745564445E-3</c:v>
                </c:pt>
                <c:pt idx="70">
                  <c:v>6.4603433443002553E-3</c:v>
                </c:pt>
                <c:pt idx="71">
                  <c:v>6.5134968672070533E-3</c:v>
                </c:pt>
                <c:pt idx="72">
                  <c:v>6.5697603432768453E-3</c:v>
                </c:pt>
                <c:pt idx="73">
                  <c:v>6.6291337725096315E-3</c:v>
                </c:pt>
                <c:pt idx="74">
                  <c:v>6.6916171549053979E-3</c:v>
                </c:pt>
                <c:pt idx="75">
                  <c:v>6.7572104904641724E-3</c:v>
                </c:pt>
                <c:pt idx="76">
                  <c:v>6.825913779185927E-3</c:v>
                </c:pt>
                <c:pt idx="77">
                  <c:v>6.8977270210706758E-3</c:v>
                </c:pt>
                <c:pt idx="78">
                  <c:v>6.9726502161184187E-3</c:v>
                </c:pt>
                <c:pt idx="79">
                  <c:v>7.0506833643291557E-3</c:v>
                </c:pt>
                <c:pt idx="80">
                  <c:v>7.1318264657028729E-3</c:v>
                </c:pt>
              </c:numCache>
            </c:numRef>
          </c:val>
          <c:extLst>
            <c:ext xmlns:c16="http://schemas.microsoft.com/office/drawing/2014/chart" uri="{C3380CC4-5D6E-409C-BE32-E72D297353CC}">
              <c16:uniqueId val="{00000001-2DF4-487D-A33C-5CEB3DDA33D7}"/>
            </c:ext>
          </c:extLst>
        </c:ser>
        <c:ser>
          <c:idx val="2"/>
          <c:order val="2"/>
          <c:tx>
            <c:strRef>
              <c:f>Interpolation!$S$5</c:f>
              <c:strCache>
                <c:ptCount val="1"/>
                <c:pt idx="0">
                  <c:v>30.2</c:v>
                </c:pt>
              </c:strCache>
            </c:strRef>
          </c:tx>
          <c:spPr>
            <a:solidFill>
              <a:schemeClr val="accent3"/>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Interpolation!$T$5:$CV$5</c:f>
              <c:numCache>
                <c:formatCode>General</c:formatCode>
                <c:ptCount val="81"/>
                <c:pt idx="0">
                  <c:v>1.0425458088944179E-2</c:v>
                </c:pt>
                <c:pt idx="1">
                  <c:v>1.0260819659858849E-2</c:v>
                </c:pt>
                <c:pt idx="2">
                  <c:v>1.0099291183936515E-2</c:v>
                </c:pt>
                <c:pt idx="3">
                  <c:v>9.9408726611771737E-3</c:v>
                </c:pt>
                <c:pt idx="4">
                  <c:v>9.7855640915808263E-3</c:v>
                </c:pt>
                <c:pt idx="5">
                  <c:v>9.6333654751474609E-3</c:v>
                </c:pt>
                <c:pt idx="6">
                  <c:v>9.4842768118770879E-3</c:v>
                </c:pt>
                <c:pt idx="7">
                  <c:v>9.3382981017696952E-3</c:v>
                </c:pt>
                <c:pt idx="8">
                  <c:v>9.1954293448253122E-3</c:v>
                </c:pt>
                <c:pt idx="9">
                  <c:v>9.0556705410439215E-3</c:v>
                </c:pt>
                <c:pt idx="10">
                  <c:v>8.9190216904255111E-3</c:v>
                </c:pt>
                <c:pt idx="11">
                  <c:v>8.7854827929700965E-3</c:v>
                </c:pt>
                <c:pt idx="12">
                  <c:v>8.6550538486776744E-3</c:v>
                </c:pt>
                <c:pt idx="13">
                  <c:v>8.5277348575482463E-3</c:v>
                </c:pt>
                <c:pt idx="14">
                  <c:v>8.4035258195818002E-3</c:v>
                </c:pt>
                <c:pt idx="15">
                  <c:v>8.2824267347783535E-3</c:v>
                </c:pt>
                <c:pt idx="16">
                  <c:v>8.1644376031378939E-3</c:v>
                </c:pt>
                <c:pt idx="17">
                  <c:v>8.0495584246604215E-3</c:v>
                </c:pt>
                <c:pt idx="18">
                  <c:v>7.9377891993459519E-3</c:v>
                </c:pt>
                <c:pt idx="19">
                  <c:v>7.8291299271944677E-3</c:v>
                </c:pt>
                <c:pt idx="20">
                  <c:v>7.7235806082059716E-3</c:v>
                </c:pt>
                <c:pt idx="21">
                  <c:v>7.6211412423804765E-3</c:v>
                </c:pt>
                <c:pt idx="22">
                  <c:v>7.5218118297179677E-3</c:v>
                </c:pt>
                <c:pt idx="23">
                  <c:v>7.425592370218447E-3</c:v>
                </c:pt>
                <c:pt idx="24">
                  <c:v>7.3324828638819195E-3</c:v>
                </c:pt>
                <c:pt idx="25">
                  <c:v>7.2424833107083801E-3</c:v>
                </c:pt>
                <c:pt idx="26">
                  <c:v>7.1555937106978417E-3</c:v>
                </c:pt>
                <c:pt idx="27">
                  <c:v>7.0718140638502906E-3</c:v>
                </c:pt>
                <c:pt idx="28">
                  <c:v>6.9911443701657257E-3</c:v>
                </c:pt>
                <c:pt idx="29">
                  <c:v>6.9135846296441549E-3</c:v>
                </c:pt>
                <c:pt idx="30">
                  <c:v>6.8391348422855791E-3</c:v>
                </c:pt>
                <c:pt idx="31">
                  <c:v>6.7677950080899905E-3</c:v>
                </c:pt>
                <c:pt idx="32">
                  <c:v>6.6995651270573952E-3</c:v>
                </c:pt>
                <c:pt idx="33">
                  <c:v>6.6344451991877879E-3</c:v>
                </c:pt>
                <c:pt idx="34">
                  <c:v>6.5724352244811747E-3</c:v>
                </c:pt>
                <c:pt idx="35">
                  <c:v>6.5135352029375548E-3</c:v>
                </c:pt>
                <c:pt idx="36">
                  <c:v>6.4577451345569229E-3</c:v>
                </c:pt>
                <c:pt idx="37">
                  <c:v>6.4050650193392851E-3</c:v>
                </c:pt>
                <c:pt idx="38">
                  <c:v>6.3554948572846406E-3</c:v>
                </c:pt>
                <c:pt idx="39">
                  <c:v>6.3090346483929841E-3</c:v>
                </c:pt>
                <c:pt idx="40">
                  <c:v>6.2656843926643148E-3</c:v>
                </c:pt>
                <c:pt idx="41">
                  <c:v>6.2254440900986387E-3</c:v>
                </c:pt>
                <c:pt idx="42">
                  <c:v>6.1883137406959577E-3</c:v>
                </c:pt>
                <c:pt idx="43">
                  <c:v>6.1542933444562698E-3</c:v>
                </c:pt>
                <c:pt idx="44">
                  <c:v>6.1233829013795701E-3</c:v>
                </c:pt>
                <c:pt idx="45">
                  <c:v>6.0955824114658635E-3</c:v>
                </c:pt>
                <c:pt idx="46">
                  <c:v>6.0708918747151451E-3</c:v>
                </c:pt>
                <c:pt idx="47">
                  <c:v>6.0493112911274207E-3</c:v>
                </c:pt>
                <c:pt idx="48">
                  <c:v>6.0308406607026896E-3</c:v>
                </c:pt>
                <c:pt idx="49">
                  <c:v>6.0154799834409465E-3</c:v>
                </c:pt>
                <c:pt idx="50">
                  <c:v>6.0032292593421906E-3</c:v>
                </c:pt>
                <c:pt idx="51">
                  <c:v>5.9940884884064349E-3</c:v>
                </c:pt>
                <c:pt idx="52">
                  <c:v>5.9880576706336673E-3</c:v>
                </c:pt>
                <c:pt idx="53">
                  <c:v>5.9851368060238868E-3</c:v>
                </c:pt>
                <c:pt idx="54">
                  <c:v>5.9853258945770996E-3</c:v>
                </c:pt>
                <c:pt idx="55">
                  <c:v>5.9886249362933143E-3</c:v>
                </c:pt>
                <c:pt idx="56">
                  <c:v>5.9950339311725083E-3</c:v>
                </c:pt>
                <c:pt idx="57">
                  <c:v>6.0045528792146974E-3</c:v>
                </c:pt>
                <c:pt idx="58">
                  <c:v>6.0171817804198727E-3</c:v>
                </c:pt>
                <c:pt idx="59">
                  <c:v>6.0329206347880509E-3</c:v>
                </c:pt>
                <c:pt idx="60">
                  <c:v>6.0517694423192075E-3</c:v>
                </c:pt>
                <c:pt idx="61">
                  <c:v>6.0737282030133661E-3</c:v>
                </c:pt>
                <c:pt idx="62">
                  <c:v>6.0987969168705049E-3</c:v>
                </c:pt>
                <c:pt idx="63">
                  <c:v>6.1269755838906509E-3</c:v>
                </c:pt>
                <c:pt idx="64">
                  <c:v>6.1582642040737779E-3</c:v>
                </c:pt>
                <c:pt idx="65">
                  <c:v>6.1926627774198913E-3</c:v>
                </c:pt>
                <c:pt idx="66">
                  <c:v>6.2301713039290066E-3</c:v>
                </c:pt>
                <c:pt idx="67">
                  <c:v>6.2707897836011082E-3</c:v>
                </c:pt>
                <c:pt idx="68">
                  <c:v>6.3145182164362048E-3</c:v>
                </c:pt>
                <c:pt idx="69">
                  <c:v>6.3613566024342885E-3</c:v>
                </c:pt>
                <c:pt idx="70">
                  <c:v>6.4113049415953655E-3</c:v>
                </c:pt>
                <c:pt idx="71">
                  <c:v>6.4643632339194306E-3</c:v>
                </c:pt>
                <c:pt idx="72">
                  <c:v>6.5205314794064897E-3</c:v>
                </c:pt>
                <c:pt idx="73">
                  <c:v>6.5798096780565422E-3</c:v>
                </c:pt>
                <c:pt idx="74">
                  <c:v>6.6421978298695757E-3</c:v>
                </c:pt>
                <c:pt idx="75">
                  <c:v>6.7076959348456172E-3</c:v>
                </c:pt>
                <c:pt idx="76">
                  <c:v>6.7763039929846381E-3</c:v>
                </c:pt>
                <c:pt idx="77">
                  <c:v>6.8480220042866531E-3</c:v>
                </c:pt>
                <c:pt idx="78">
                  <c:v>6.9228499687516631E-3</c:v>
                </c:pt>
                <c:pt idx="79">
                  <c:v>7.0007878863796672E-3</c:v>
                </c:pt>
                <c:pt idx="80">
                  <c:v>7.0818357571706507E-3</c:v>
                </c:pt>
              </c:numCache>
            </c:numRef>
          </c:val>
          <c:extLst>
            <c:ext xmlns:c16="http://schemas.microsoft.com/office/drawing/2014/chart" uri="{C3380CC4-5D6E-409C-BE32-E72D297353CC}">
              <c16:uniqueId val="{00000002-2DF4-487D-A33C-5CEB3DDA33D7}"/>
            </c:ext>
          </c:extLst>
        </c:ser>
        <c:ser>
          <c:idx val="3"/>
          <c:order val="3"/>
          <c:tx>
            <c:strRef>
              <c:f>Interpolation!$S$6</c:f>
              <c:strCache>
                <c:ptCount val="1"/>
                <c:pt idx="0">
                  <c:v>30.3</c:v>
                </c:pt>
              </c:strCache>
            </c:strRef>
          </c:tx>
          <c:spPr>
            <a:solidFill>
              <a:schemeClr val="accent4"/>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Interpolation!$T$6:$CV$6</c:f>
              <c:numCache>
                <c:formatCode>General</c:formatCode>
                <c:ptCount val="81"/>
                <c:pt idx="0">
                  <c:v>1.0383986280757426E-2</c:v>
                </c:pt>
                <c:pt idx="1">
                  <c:v>1.0219252621089364E-2</c:v>
                </c:pt>
                <c:pt idx="2">
                  <c:v>1.0057628914584296E-2</c:v>
                </c:pt>
                <c:pt idx="3">
                  <c:v>9.899115161242221E-3</c:v>
                </c:pt>
                <c:pt idx="4">
                  <c:v>9.7437113610631416E-3</c:v>
                </c:pt>
                <c:pt idx="5">
                  <c:v>9.5914175140470407E-3</c:v>
                </c:pt>
                <c:pt idx="6">
                  <c:v>9.4422336201939357E-3</c:v>
                </c:pt>
                <c:pt idx="7">
                  <c:v>9.2961596795038109E-3</c:v>
                </c:pt>
                <c:pt idx="8">
                  <c:v>9.1531956919766923E-3</c:v>
                </c:pt>
                <c:pt idx="9">
                  <c:v>9.0133416576125697E-3</c:v>
                </c:pt>
                <c:pt idx="10">
                  <c:v>8.8765975764114272E-3</c:v>
                </c:pt>
                <c:pt idx="11">
                  <c:v>8.7429634483732772E-3</c:v>
                </c:pt>
                <c:pt idx="12">
                  <c:v>8.612439273498123E-3</c:v>
                </c:pt>
                <c:pt idx="13">
                  <c:v>8.4850250517859611E-3</c:v>
                </c:pt>
                <c:pt idx="14">
                  <c:v>8.3607207832367813E-3</c:v>
                </c:pt>
                <c:pt idx="15">
                  <c:v>8.2395264678506025E-3</c:v>
                </c:pt>
                <c:pt idx="16">
                  <c:v>8.1214421056274091E-3</c:v>
                </c:pt>
                <c:pt idx="17">
                  <c:v>8.0064676965672047E-3</c:v>
                </c:pt>
                <c:pt idx="18">
                  <c:v>7.8946032406700013E-3</c:v>
                </c:pt>
                <c:pt idx="19">
                  <c:v>7.7858487379357834E-3</c:v>
                </c:pt>
                <c:pt idx="20">
                  <c:v>7.6802041883645544E-3</c:v>
                </c:pt>
                <c:pt idx="21">
                  <c:v>7.5776695919563255E-3</c:v>
                </c:pt>
                <c:pt idx="22">
                  <c:v>7.4782449487110839E-3</c:v>
                </c:pt>
                <c:pt idx="23">
                  <c:v>7.3819302586288294E-3</c:v>
                </c:pt>
                <c:pt idx="24">
                  <c:v>7.2887255217095699E-3</c:v>
                </c:pt>
                <c:pt idx="25">
                  <c:v>7.1986307379532967E-3</c:v>
                </c:pt>
                <c:pt idx="26">
                  <c:v>7.1116459073600254E-3</c:v>
                </c:pt>
                <c:pt idx="27">
                  <c:v>7.0277710299297405E-3</c:v>
                </c:pt>
                <c:pt idx="28">
                  <c:v>6.9470061056624427E-3</c:v>
                </c:pt>
                <c:pt idx="29">
                  <c:v>6.869351134558139E-3</c:v>
                </c:pt>
                <c:pt idx="30">
                  <c:v>6.7948061166168295E-3</c:v>
                </c:pt>
                <c:pt idx="31">
                  <c:v>6.723371051838508E-3</c:v>
                </c:pt>
                <c:pt idx="32">
                  <c:v>6.6550459402231798E-3</c:v>
                </c:pt>
                <c:pt idx="33">
                  <c:v>6.5898307817708387E-3</c:v>
                </c:pt>
                <c:pt idx="34">
                  <c:v>6.5277255764814917E-3</c:v>
                </c:pt>
                <c:pt idx="35">
                  <c:v>6.4687303243551389E-3</c:v>
                </c:pt>
                <c:pt idx="36">
                  <c:v>6.4128450253917741E-3</c:v>
                </c:pt>
                <c:pt idx="37">
                  <c:v>6.3600696795914026E-3</c:v>
                </c:pt>
                <c:pt idx="38">
                  <c:v>6.3104042869540251E-3</c:v>
                </c:pt>
                <c:pt idx="39">
                  <c:v>6.2638488474796358E-3</c:v>
                </c:pt>
                <c:pt idx="40">
                  <c:v>6.2204033611682327E-3</c:v>
                </c:pt>
                <c:pt idx="41">
                  <c:v>6.1800678280198237E-3</c:v>
                </c:pt>
                <c:pt idx="42">
                  <c:v>6.1428422480344098E-3</c:v>
                </c:pt>
                <c:pt idx="43">
                  <c:v>6.1087266212119891E-3</c:v>
                </c:pt>
                <c:pt idx="44">
                  <c:v>6.0777209475525555E-3</c:v>
                </c:pt>
                <c:pt idx="45">
                  <c:v>6.0498252270561161E-3</c:v>
                </c:pt>
                <c:pt idx="46">
                  <c:v>6.0250394597226638E-3</c:v>
                </c:pt>
                <c:pt idx="47">
                  <c:v>6.0033636455522066E-3</c:v>
                </c:pt>
                <c:pt idx="48">
                  <c:v>5.9847977845447426E-3</c:v>
                </c:pt>
                <c:pt idx="49">
                  <c:v>5.9693418767002657E-3</c:v>
                </c:pt>
                <c:pt idx="50">
                  <c:v>5.956995922018777E-3</c:v>
                </c:pt>
                <c:pt idx="51">
                  <c:v>5.9477599205002884E-3</c:v>
                </c:pt>
                <c:pt idx="52">
                  <c:v>5.9416338721447869E-3</c:v>
                </c:pt>
                <c:pt idx="53">
                  <c:v>5.9386177769522727E-3</c:v>
                </c:pt>
                <c:pt idx="54">
                  <c:v>5.9387116349227526E-3</c:v>
                </c:pt>
                <c:pt idx="55">
                  <c:v>5.9419154460562344E-3</c:v>
                </c:pt>
                <c:pt idx="56">
                  <c:v>5.9482292103526955E-3</c:v>
                </c:pt>
                <c:pt idx="57">
                  <c:v>5.9576529278121508E-3</c:v>
                </c:pt>
                <c:pt idx="58">
                  <c:v>5.9701865984345941E-3</c:v>
                </c:pt>
                <c:pt idx="59">
                  <c:v>5.9858302222200377E-3</c:v>
                </c:pt>
                <c:pt idx="60">
                  <c:v>6.0045837991684614E-3</c:v>
                </c:pt>
                <c:pt idx="61">
                  <c:v>6.0264473292798871E-3</c:v>
                </c:pt>
                <c:pt idx="62">
                  <c:v>6.0514208125542921E-3</c:v>
                </c:pt>
                <c:pt idx="63">
                  <c:v>6.0795042489917052E-3</c:v>
                </c:pt>
                <c:pt idx="64">
                  <c:v>6.1106976385920993E-3</c:v>
                </c:pt>
                <c:pt idx="65">
                  <c:v>6.1450009813554789E-3</c:v>
                </c:pt>
                <c:pt idx="66">
                  <c:v>6.1824142772818613E-3</c:v>
                </c:pt>
                <c:pt idx="67">
                  <c:v>6.2229375263712292E-3</c:v>
                </c:pt>
                <c:pt idx="68">
                  <c:v>6.2665707286235928E-3</c:v>
                </c:pt>
                <c:pt idx="69">
                  <c:v>6.3133138840389428E-3</c:v>
                </c:pt>
                <c:pt idx="70">
                  <c:v>6.3631669926172869E-3</c:v>
                </c:pt>
                <c:pt idx="71">
                  <c:v>6.4161300543586191E-3</c:v>
                </c:pt>
                <c:pt idx="72">
                  <c:v>6.4722030692629454E-3</c:v>
                </c:pt>
                <c:pt idx="73">
                  <c:v>6.5313860373302649E-3</c:v>
                </c:pt>
                <c:pt idx="74">
                  <c:v>6.5936789585605646E-3</c:v>
                </c:pt>
                <c:pt idx="75">
                  <c:v>6.6590818329538724E-3</c:v>
                </c:pt>
                <c:pt idx="76">
                  <c:v>6.7275946605101604E-3</c:v>
                </c:pt>
                <c:pt idx="77">
                  <c:v>6.7992174412294434E-3</c:v>
                </c:pt>
                <c:pt idx="78">
                  <c:v>6.8739501751117187E-3</c:v>
                </c:pt>
                <c:pt idx="79">
                  <c:v>6.9517928621569899E-3</c:v>
                </c:pt>
                <c:pt idx="80">
                  <c:v>7.0327455023652405E-3</c:v>
                </c:pt>
              </c:numCache>
            </c:numRef>
          </c:val>
          <c:extLst>
            <c:ext xmlns:c16="http://schemas.microsoft.com/office/drawing/2014/chart" uri="{C3380CC4-5D6E-409C-BE32-E72D297353CC}">
              <c16:uniqueId val="{00000003-2DF4-487D-A33C-5CEB3DDA33D7}"/>
            </c:ext>
          </c:extLst>
        </c:ser>
        <c:ser>
          <c:idx val="4"/>
          <c:order val="4"/>
          <c:tx>
            <c:strRef>
              <c:f>Interpolation!$S$7</c:f>
              <c:strCache>
                <c:ptCount val="1"/>
                <c:pt idx="0">
                  <c:v>30.4</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Interpolation!$T$7:$CV$7</c:f>
              <c:numCache>
                <c:formatCode>General</c:formatCode>
                <c:ptCount val="81"/>
                <c:pt idx="0">
                  <c:v>1.0343414926297497E-2</c:v>
                </c:pt>
                <c:pt idx="1">
                  <c:v>1.0178586036046702E-2</c:v>
                </c:pt>
                <c:pt idx="2">
                  <c:v>1.0016867098958901E-2</c:v>
                </c:pt>
                <c:pt idx="3">
                  <c:v>9.8582581150340933E-3</c:v>
                </c:pt>
                <c:pt idx="4">
                  <c:v>9.7027590842722802E-3</c:v>
                </c:pt>
                <c:pt idx="5">
                  <c:v>9.5503700066734473E-3</c:v>
                </c:pt>
                <c:pt idx="6">
                  <c:v>9.4010908822376085E-3</c:v>
                </c:pt>
                <c:pt idx="7">
                  <c:v>9.2549217109647499E-3</c:v>
                </c:pt>
                <c:pt idx="8">
                  <c:v>9.1118624928548993E-3</c:v>
                </c:pt>
                <c:pt idx="9">
                  <c:v>8.9719132279080429E-3</c:v>
                </c:pt>
                <c:pt idx="10">
                  <c:v>8.8350739161241667E-3</c:v>
                </c:pt>
                <c:pt idx="11">
                  <c:v>8.7013445575032846E-3</c:v>
                </c:pt>
                <c:pt idx="12">
                  <c:v>8.5707251520453966E-3</c:v>
                </c:pt>
                <c:pt idx="13">
                  <c:v>8.4432156997505028E-3</c:v>
                </c:pt>
                <c:pt idx="14">
                  <c:v>8.3188162006185892E-3</c:v>
                </c:pt>
                <c:pt idx="15">
                  <c:v>8.1975266546496766E-3</c:v>
                </c:pt>
                <c:pt idx="16">
                  <c:v>8.0793470618437512E-3</c:v>
                </c:pt>
                <c:pt idx="17">
                  <c:v>7.9642774222008113E-3</c:v>
                </c:pt>
                <c:pt idx="18">
                  <c:v>7.8523177357208741E-3</c:v>
                </c:pt>
                <c:pt idx="19">
                  <c:v>7.743468002403925E-3</c:v>
                </c:pt>
                <c:pt idx="20">
                  <c:v>7.6377282222499622E-3</c:v>
                </c:pt>
                <c:pt idx="21">
                  <c:v>7.5350983952590005E-3</c:v>
                </c:pt>
                <c:pt idx="22">
                  <c:v>7.4355785214310251E-3</c:v>
                </c:pt>
                <c:pt idx="23">
                  <c:v>7.3391686007660377E-3</c:v>
                </c:pt>
                <c:pt idx="24">
                  <c:v>7.2458686332640444E-3</c:v>
                </c:pt>
                <c:pt idx="25">
                  <c:v>7.1556786189250383E-3</c:v>
                </c:pt>
                <c:pt idx="26">
                  <c:v>7.0685985577490333E-3</c:v>
                </c:pt>
                <c:pt idx="27">
                  <c:v>6.9846284497360155E-3</c:v>
                </c:pt>
                <c:pt idx="28">
                  <c:v>6.9037682948859848E-3</c:v>
                </c:pt>
                <c:pt idx="29">
                  <c:v>6.8260180931989482E-3</c:v>
                </c:pt>
                <c:pt idx="30">
                  <c:v>6.7513778446749058E-3</c:v>
                </c:pt>
                <c:pt idx="31">
                  <c:v>6.6798475493138505E-3</c:v>
                </c:pt>
                <c:pt idx="32">
                  <c:v>6.6114272071157894E-3</c:v>
                </c:pt>
                <c:pt idx="33">
                  <c:v>6.5461168180807145E-3</c:v>
                </c:pt>
                <c:pt idx="34">
                  <c:v>6.4839163822086347E-3</c:v>
                </c:pt>
                <c:pt idx="35">
                  <c:v>6.424825899499549E-3</c:v>
                </c:pt>
                <c:pt idx="36">
                  <c:v>6.3688453699534504E-3</c:v>
                </c:pt>
                <c:pt idx="37">
                  <c:v>6.315974793570346E-3</c:v>
                </c:pt>
                <c:pt idx="38">
                  <c:v>6.2662141703502356E-3</c:v>
                </c:pt>
                <c:pt idx="39">
                  <c:v>6.2195635002931125E-3</c:v>
                </c:pt>
                <c:pt idx="40">
                  <c:v>6.1760227833989757E-3</c:v>
                </c:pt>
                <c:pt idx="41">
                  <c:v>6.1355920196678338E-3</c:v>
                </c:pt>
                <c:pt idx="42">
                  <c:v>6.0982712090996861E-3</c:v>
                </c:pt>
                <c:pt idx="43">
                  <c:v>6.0640603516945325E-3</c:v>
                </c:pt>
                <c:pt idx="44">
                  <c:v>6.032959447452366E-3</c:v>
                </c:pt>
                <c:pt idx="45">
                  <c:v>6.0049684963731937E-3</c:v>
                </c:pt>
                <c:pt idx="46">
                  <c:v>5.9800874984570086E-3</c:v>
                </c:pt>
                <c:pt idx="47">
                  <c:v>5.9583164537038175E-3</c:v>
                </c:pt>
                <c:pt idx="48">
                  <c:v>5.9396553621136206E-3</c:v>
                </c:pt>
                <c:pt idx="49">
                  <c:v>5.9241042236864109E-3</c:v>
                </c:pt>
                <c:pt idx="50">
                  <c:v>5.9116630384221883E-3</c:v>
                </c:pt>
                <c:pt idx="51">
                  <c:v>5.9023318063209668E-3</c:v>
                </c:pt>
                <c:pt idx="52">
                  <c:v>5.8961105273827325E-3</c:v>
                </c:pt>
                <c:pt idx="53">
                  <c:v>5.8929992016074845E-3</c:v>
                </c:pt>
                <c:pt idx="54">
                  <c:v>5.8929978289952315E-3</c:v>
                </c:pt>
                <c:pt idx="55">
                  <c:v>5.8961064095459795E-3</c:v>
                </c:pt>
                <c:pt idx="56">
                  <c:v>5.9023249432597069E-3</c:v>
                </c:pt>
                <c:pt idx="57">
                  <c:v>5.9116534301364293E-3</c:v>
                </c:pt>
                <c:pt idx="58">
                  <c:v>5.9240918701761389E-3</c:v>
                </c:pt>
                <c:pt idx="59">
                  <c:v>5.9396402633788495E-3</c:v>
                </c:pt>
                <c:pt idx="60">
                  <c:v>5.9582986097445403E-3</c:v>
                </c:pt>
                <c:pt idx="61">
                  <c:v>5.9800669092732323E-3</c:v>
                </c:pt>
                <c:pt idx="62">
                  <c:v>6.0049451619649044E-3</c:v>
                </c:pt>
                <c:pt idx="63">
                  <c:v>6.0329333678195846E-3</c:v>
                </c:pt>
                <c:pt idx="64">
                  <c:v>6.0640315268372449E-3</c:v>
                </c:pt>
                <c:pt idx="65">
                  <c:v>6.0982396390178925E-3</c:v>
                </c:pt>
                <c:pt idx="66">
                  <c:v>6.1355577043615411E-3</c:v>
                </c:pt>
                <c:pt idx="67">
                  <c:v>6.1759857228681769E-3</c:v>
                </c:pt>
                <c:pt idx="68">
                  <c:v>6.2195236945378068E-3</c:v>
                </c:pt>
                <c:pt idx="69">
                  <c:v>6.2661716193704239E-3</c:v>
                </c:pt>
                <c:pt idx="70">
                  <c:v>6.3159294973660343E-3</c:v>
                </c:pt>
                <c:pt idx="71">
                  <c:v>6.3687973285246327E-3</c:v>
                </c:pt>
                <c:pt idx="72">
                  <c:v>6.424775112846226E-3</c:v>
                </c:pt>
                <c:pt idx="73">
                  <c:v>6.4838628503308127E-3</c:v>
                </c:pt>
                <c:pt idx="74">
                  <c:v>6.5460605409783795E-3</c:v>
                </c:pt>
                <c:pt idx="75">
                  <c:v>6.6113681847889526E-3</c:v>
                </c:pt>
                <c:pt idx="76">
                  <c:v>6.6797857817625077E-3</c:v>
                </c:pt>
                <c:pt idx="77">
                  <c:v>6.751313331899057E-3</c:v>
                </c:pt>
                <c:pt idx="78">
                  <c:v>6.8259508351986003E-3</c:v>
                </c:pt>
                <c:pt idx="79">
                  <c:v>6.9036982916611377E-3</c:v>
                </c:pt>
                <c:pt idx="80">
                  <c:v>6.9845557012866554E-3</c:v>
                </c:pt>
              </c:numCache>
            </c:numRef>
          </c:val>
          <c:extLst>
            <c:ext xmlns:c16="http://schemas.microsoft.com/office/drawing/2014/chart" uri="{C3380CC4-5D6E-409C-BE32-E72D297353CC}">
              <c16:uniqueId val="{0000006D-B0BD-44B6-BED5-7CDF3E877C37}"/>
            </c:ext>
          </c:extLst>
        </c:ser>
        <c:ser>
          <c:idx val="5"/>
          <c:order val="5"/>
          <c:tx>
            <c:strRef>
              <c:f>Interpolation!$S$8</c:f>
              <c:strCache>
                <c:ptCount val="1"/>
                <c:pt idx="0">
                  <c:v>30.5</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Interpolation!$T$8:$CV$8</c:f>
              <c:numCache>
                <c:formatCode>General</c:formatCode>
                <c:ptCount val="81"/>
                <c:pt idx="0">
                  <c:v>1.0303744025564382E-2</c:v>
                </c:pt>
                <c:pt idx="1">
                  <c:v>1.0138819904730853E-2</c:v>
                </c:pt>
                <c:pt idx="2">
                  <c:v>9.9770057370603179E-3</c:v>
                </c:pt>
                <c:pt idx="3">
                  <c:v>9.8183015225527769E-3</c:v>
                </c:pt>
                <c:pt idx="4">
                  <c:v>9.6627072612082317E-3</c:v>
                </c:pt>
                <c:pt idx="5">
                  <c:v>9.510222953026665E-3</c:v>
                </c:pt>
                <c:pt idx="6">
                  <c:v>9.3608485980080924E-3</c:v>
                </c:pt>
                <c:pt idx="7">
                  <c:v>9.2145841961525001E-3</c:v>
                </c:pt>
                <c:pt idx="8">
                  <c:v>9.0714297474599175E-3</c:v>
                </c:pt>
                <c:pt idx="9">
                  <c:v>8.9313852519303273E-3</c:v>
                </c:pt>
                <c:pt idx="10">
                  <c:v>8.7944507095637173E-3</c:v>
                </c:pt>
                <c:pt idx="11">
                  <c:v>8.6606261203601015E-3</c:v>
                </c:pt>
                <c:pt idx="12">
                  <c:v>8.5299114843194815E-3</c:v>
                </c:pt>
                <c:pt idx="13">
                  <c:v>8.4023068014418539E-3</c:v>
                </c:pt>
                <c:pt idx="14">
                  <c:v>8.2778120717272065E-3</c:v>
                </c:pt>
                <c:pt idx="15">
                  <c:v>8.1564272951755619E-3</c:v>
                </c:pt>
                <c:pt idx="16">
                  <c:v>8.0381524717869027E-3</c:v>
                </c:pt>
                <c:pt idx="17">
                  <c:v>7.9229876015612308E-3</c:v>
                </c:pt>
                <c:pt idx="18">
                  <c:v>7.8109326844985599E-3</c:v>
                </c:pt>
                <c:pt idx="19">
                  <c:v>7.701987720598877E-3</c:v>
                </c:pt>
                <c:pt idx="20">
                  <c:v>7.5961527098621813E-3</c:v>
                </c:pt>
                <c:pt idx="21">
                  <c:v>7.4934276522884858E-3</c:v>
                </c:pt>
                <c:pt idx="22">
                  <c:v>7.3938125478777783E-3</c:v>
                </c:pt>
                <c:pt idx="23">
                  <c:v>7.2973073966300572E-3</c:v>
                </c:pt>
                <c:pt idx="24">
                  <c:v>7.203912198545331E-3</c:v>
                </c:pt>
                <c:pt idx="25">
                  <c:v>7.1136269536235912E-3</c:v>
                </c:pt>
                <c:pt idx="26">
                  <c:v>7.0264516618648533E-3</c:v>
                </c:pt>
                <c:pt idx="27">
                  <c:v>6.9423863232691025E-3</c:v>
                </c:pt>
                <c:pt idx="28">
                  <c:v>6.8614309378363381E-3</c:v>
                </c:pt>
                <c:pt idx="29">
                  <c:v>6.7835855055665677E-3</c:v>
                </c:pt>
                <c:pt idx="30">
                  <c:v>6.7088500264597924E-3</c:v>
                </c:pt>
                <c:pt idx="31">
                  <c:v>6.6372245005160042E-3</c:v>
                </c:pt>
                <c:pt idx="32">
                  <c:v>6.5687089277352093E-3</c:v>
                </c:pt>
                <c:pt idx="33">
                  <c:v>6.5033033081174016E-3</c:v>
                </c:pt>
                <c:pt idx="34">
                  <c:v>6.4410076416625888E-3</c:v>
                </c:pt>
                <c:pt idx="35">
                  <c:v>6.3818219283707702E-3</c:v>
                </c:pt>
                <c:pt idx="36">
                  <c:v>6.3257461682419379E-3</c:v>
                </c:pt>
                <c:pt idx="37">
                  <c:v>6.2727803612760997E-3</c:v>
                </c:pt>
                <c:pt idx="38">
                  <c:v>6.2229245074732565E-3</c:v>
                </c:pt>
                <c:pt idx="39">
                  <c:v>6.1761786068334004E-3</c:v>
                </c:pt>
                <c:pt idx="40">
                  <c:v>6.1325426593565307E-3</c:v>
                </c:pt>
                <c:pt idx="41">
                  <c:v>6.0920166650426551E-3</c:v>
                </c:pt>
                <c:pt idx="42">
                  <c:v>6.0546006238917744E-3</c:v>
                </c:pt>
                <c:pt idx="43">
                  <c:v>6.0202945359038879E-3</c:v>
                </c:pt>
                <c:pt idx="44">
                  <c:v>5.9890984010789877E-3</c:v>
                </c:pt>
                <c:pt idx="45">
                  <c:v>5.9610122194170816E-3</c:v>
                </c:pt>
                <c:pt idx="46">
                  <c:v>5.9360359909181636E-3</c:v>
                </c:pt>
                <c:pt idx="47">
                  <c:v>5.9141697155822397E-3</c:v>
                </c:pt>
                <c:pt idx="48">
                  <c:v>5.895413393409309E-3</c:v>
                </c:pt>
                <c:pt idx="49">
                  <c:v>5.8797670243993664E-3</c:v>
                </c:pt>
                <c:pt idx="50">
                  <c:v>5.8672306085524109E-3</c:v>
                </c:pt>
                <c:pt idx="51">
                  <c:v>5.8578041458684556E-3</c:v>
                </c:pt>
                <c:pt idx="52">
                  <c:v>5.8514876363474876E-3</c:v>
                </c:pt>
                <c:pt idx="53">
                  <c:v>5.8482810799895075E-3</c:v>
                </c:pt>
                <c:pt idx="54">
                  <c:v>5.8481844767945207E-3</c:v>
                </c:pt>
                <c:pt idx="55">
                  <c:v>5.8511978267625359E-3</c:v>
                </c:pt>
                <c:pt idx="56">
                  <c:v>5.8573211298935304E-3</c:v>
                </c:pt>
                <c:pt idx="57">
                  <c:v>5.8665543861875198E-3</c:v>
                </c:pt>
                <c:pt idx="58">
                  <c:v>5.8788975956444956E-3</c:v>
                </c:pt>
                <c:pt idx="59">
                  <c:v>5.8943507582644734E-3</c:v>
                </c:pt>
                <c:pt idx="60">
                  <c:v>5.9129138740474305E-3</c:v>
                </c:pt>
                <c:pt idx="61">
                  <c:v>5.9345869429933895E-3</c:v>
                </c:pt>
                <c:pt idx="62">
                  <c:v>5.9593699651023287E-3</c:v>
                </c:pt>
                <c:pt idx="63">
                  <c:v>5.9872629403742751E-3</c:v>
                </c:pt>
                <c:pt idx="64">
                  <c:v>6.0182658688092026E-3</c:v>
                </c:pt>
                <c:pt idx="65">
                  <c:v>6.0523787504071164E-3</c:v>
                </c:pt>
                <c:pt idx="66">
                  <c:v>6.0896015851680321E-3</c:v>
                </c:pt>
                <c:pt idx="67">
                  <c:v>6.1299343730919342E-3</c:v>
                </c:pt>
                <c:pt idx="68">
                  <c:v>6.1733771141788303E-3</c:v>
                </c:pt>
                <c:pt idx="69">
                  <c:v>6.2199298084287145E-3</c:v>
                </c:pt>
                <c:pt idx="70">
                  <c:v>6.2695924558415928E-3</c:v>
                </c:pt>
                <c:pt idx="71">
                  <c:v>6.3223650564174574E-3</c:v>
                </c:pt>
                <c:pt idx="72">
                  <c:v>6.378247610156317E-3</c:v>
                </c:pt>
                <c:pt idx="73">
                  <c:v>6.4372401170581708E-3</c:v>
                </c:pt>
                <c:pt idx="74">
                  <c:v>6.4993425771230039E-3</c:v>
                </c:pt>
                <c:pt idx="75">
                  <c:v>6.564554990350845E-3</c:v>
                </c:pt>
                <c:pt idx="76">
                  <c:v>6.6328773567416663E-3</c:v>
                </c:pt>
                <c:pt idx="77">
                  <c:v>6.7043096762954835E-3</c:v>
                </c:pt>
                <c:pt idx="78">
                  <c:v>6.778851949012293E-3</c:v>
                </c:pt>
                <c:pt idx="79">
                  <c:v>6.8565041748920967E-3</c:v>
                </c:pt>
                <c:pt idx="80">
                  <c:v>6.9372663539348815E-3</c:v>
                </c:pt>
              </c:numCache>
            </c:numRef>
          </c:val>
          <c:extLst>
            <c:ext xmlns:c16="http://schemas.microsoft.com/office/drawing/2014/chart" uri="{C3380CC4-5D6E-409C-BE32-E72D297353CC}">
              <c16:uniqueId val="{0000007D-B0BD-44B6-BED5-7CDF3E877C37}"/>
            </c:ext>
          </c:extLst>
        </c:ser>
        <c:ser>
          <c:idx val="6"/>
          <c:order val="6"/>
          <c:tx>
            <c:strRef>
              <c:f>Interpolation!$S$9</c:f>
              <c:strCache>
                <c:ptCount val="1"/>
                <c:pt idx="0">
                  <c:v>30.6</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Interpolation!$T$9:$CV$9</c:f>
              <c:numCache>
                <c:formatCode>General</c:formatCode>
                <c:ptCount val="81"/>
                <c:pt idx="0">
                  <c:v>1.0264973578558097E-2</c:v>
                </c:pt>
                <c:pt idx="1">
                  <c:v>1.0099954227141834E-2</c:v>
                </c:pt>
                <c:pt idx="2">
                  <c:v>9.9380448288885672E-3</c:v>
                </c:pt>
                <c:pt idx="3">
                  <c:v>9.7792453837982941E-3</c:v>
                </c:pt>
                <c:pt idx="4">
                  <c:v>9.6235558918710135E-3</c:v>
                </c:pt>
                <c:pt idx="5">
                  <c:v>9.4709763531067147E-3</c:v>
                </c:pt>
                <c:pt idx="6">
                  <c:v>9.3215067675054084E-3</c:v>
                </c:pt>
                <c:pt idx="7">
                  <c:v>9.1751471350670841E-3</c:v>
                </c:pt>
                <c:pt idx="8">
                  <c:v>9.031897455791766E-3</c:v>
                </c:pt>
                <c:pt idx="9">
                  <c:v>8.8917577296794437E-3</c:v>
                </c:pt>
                <c:pt idx="10">
                  <c:v>8.7547279567301017E-3</c:v>
                </c:pt>
                <c:pt idx="11">
                  <c:v>8.6208081369437521E-3</c:v>
                </c:pt>
                <c:pt idx="12">
                  <c:v>8.4899982703203983E-3</c:v>
                </c:pt>
                <c:pt idx="13">
                  <c:v>8.362298356860037E-3</c:v>
                </c:pt>
                <c:pt idx="14">
                  <c:v>8.2377083965626575E-3</c:v>
                </c:pt>
                <c:pt idx="15">
                  <c:v>8.1162283894282775E-3</c:v>
                </c:pt>
                <c:pt idx="16">
                  <c:v>7.9978583354568863E-3</c:v>
                </c:pt>
                <c:pt idx="17">
                  <c:v>7.8825982346484823E-3</c:v>
                </c:pt>
                <c:pt idx="18">
                  <c:v>7.7704480870030776E-3</c:v>
                </c:pt>
                <c:pt idx="19">
                  <c:v>7.661407892520661E-3</c:v>
                </c:pt>
                <c:pt idx="20">
                  <c:v>7.5554776512012324E-3</c:v>
                </c:pt>
                <c:pt idx="21">
                  <c:v>7.452657363044804E-3</c:v>
                </c:pt>
                <c:pt idx="22">
                  <c:v>7.3529470280513628E-3</c:v>
                </c:pt>
                <c:pt idx="23">
                  <c:v>7.2563466462209087E-3</c:v>
                </c:pt>
                <c:pt idx="24">
                  <c:v>7.1628562175534488E-3</c:v>
                </c:pt>
                <c:pt idx="25">
                  <c:v>7.072475742048976E-3</c:v>
                </c:pt>
                <c:pt idx="26">
                  <c:v>6.9852052197075052E-3</c:v>
                </c:pt>
                <c:pt idx="27">
                  <c:v>6.9010446505290207E-3</c:v>
                </c:pt>
                <c:pt idx="28">
                  <c:v>6.8199940345135233E-3</c:v>
                </c:pt>
                <c:pt idx="29">
                  <c:v>6.7420533716610201E-3</c:v>
                </c:pt>
                <c:pt idx="30">
                  <c:v>6.667222661971511E-3</c:v>
                </c:pt>
                <c:pt idx="31">
                  <c:v>6.5955019054449891E-3</c:v>
                </c:pt>
                <c:pt idx="32">
                  <c:v>6.5268911020814613E-3</c:v>
                </c:pt>
                <c:pt idx="33">
                  <c:v>6.4613902518809215E-3</c:v>
                </c:pt>
                <c:pt idx="34">
                  <c:v>6.3989993548433741E-3</c:v>
                </c:pt>
                <c:pt idx="35">
                  <c:v>6.3397184109688226E-3</c:v>
                </c:pt>
                <c:pt idx="36">
                  <c:v>6.2835474202572574E-3</c:v>
                </c:pt>
                <c:pt idx="37">
                  <c:v>6.2304863827086863E-3</c:v>
                </c:pt>
                <c:pt idx="38">
                  <c:v>6.1805352983231093E-3</c:v>
                </c:pt>
                <c:pt idx="39">
                  <c:v>6.1336941671005195E-3</c:v>
                </c:pt>
                <c:pt idx="40">
                  <c:v>6.0899629890409177E-3</c:v>
                </c:pt>
                <c:pt idx="41">
                  <c:v>6.0493417641443092E-3</c:v>
                </c:pt>
                <c:pt idx="42">
                  <c:v>6.0118304924106948E-3</c:v>
                </c:pt>
                <c:pt idx="43">
                  <c:v>5.9774291738400745E-3</c:v>
                </c:pt>
                <c:pt idx="44">
                  <c:v>5.9461378084324414E-3</c:v>
                </c:pt>
                <c:pt idx="45">
                  <c:v>5.9179563961878024E-3</c:v>
                </c:pt>
                <c:pt idx="46">
                  <c:v>5.8928849371061506E-3</c:v>
                </c:pt>
                <c:pt idx="47">
                  <c:v>5.8709234311874938E-3</c:v>
                </c:pt>
                <c:pt idx="48">
                  <c:v>5.8520718784318302E-3</c:v>
                </c:pt>
                <c:pt idx="49">
                  <c:v>5.8363302788391538E-3</c:v>
                </c:pt>
                <c:pt idx="50">
                  <c:v>5.8236986324094646E-3</c:v>
                </c:pt>
                <c:pt idx="51">
                  <c:v>5.8141769391427765E-3</c:v>
                </c:pt>
                <c:pt idx="52">
                  <c:v>5.8077651990390763E-3</c:v>
                </c:pt>
                <c:pt idx="53">
                  <c:v>5.8044634120983617E-3</c:v>
                </c:pt>
                <c:pt idx="54">
                  <c:v>5.8042715783206428E-3</c:v>
                </c:pt>
                <c:pt idx="55">
                  <c:v>5.8071896977059242E-3</c:v>
                </c:pt>
                <c:pt idx="56">
                  <c:v>5.8132177702541858E-3</c:v>
                </c:pt>
                <c:pt idx="57">
                  <c:v>5.8223557959654415E-3</c:v>
                </c:pt>
                <c:pt idx="58">
                  <c:v>5.8346037748396844E-3</c:v>
                </c:pt>
                <c:pt idx="59">
                  <c:v>5.8499617068769293E-3</c:v>
                </c:pt>
                <c:pt idx="60">
                  <c:v>5.8684295920771535E-3</c:v>
                </c:pt>
                <c:pt idx="61">
                  <c:v>5.8900074304403787E-3</c:v>
                </c:pt>
                <c:pt idx="62">
                  <c:v>5.9146952219665842E-3</c:v>
                </c:pt>
                <c:pt idx="63">
                  <c:v>5.9424929666557977E-3</c:v>
                </c:pt>
                <c:pt idx="64">
                  <c:v>5.9734006645079923E-3</c:v>
                </c:pt>
                <c:pt idx="65">
                  <c:v>6.0074183155231723E-3</c:v>
                </c:pt>
                <c:pt idx="66">
                  <c:v>6.0445459197013551E-3</c:v>
                </c:pt>
                <c:pt idx="67">
                  <c:v>6.0847834770425234E-3</c:v>
                </c:pt>
                <c:pt idx="68">
                  <c:v>6.1281309875466875E-3</c:v>
                </c:pt>
                <c:pt idx="69">
                  <c:v>6.1745884512138379E-3</c:v>
                </c:pt>
                <c:pt idx="70">
                  <c:v>6.2241558680439825E-3</c:v>
                </c:pt>
                <c:pt idx="71">
                  <c:v>6.2768332380371142E-3</c:v>
                </c:pt>
                <c:pt idx="72">
                  <c:v>6.3326205611932401E-3</c:v>
                </c:pt>
                <c:pt idx="73">
                  <c:v>6.3915178375123609E-3</c:v>
                </c:pt>
                <c:pt idx="74">
                  <c:v>6.4535250669944611E-3</c:v>
                </c:pt>
                <c:pt idx="75">
                  <c:v>6.5186422496395693E-3</c:v>
                </c:pt>
                <c:pt idx="76">
                  <c:v>6.5868693854476577E-3</c:v>
                </c:pt>
                <c:pt idx="77">
                  <c:v>6.6582064744187403E-3</c:v>
                </c:pt>
                <c:pt idx="78">
                  <c:v>6.7326535165528169E-3</c:v>
                </c:pt>
                <c:pt idx="79">
                  <c:v>6.8102105118498877E-3</c:v>
                </c:pt>
                <c:pt idx="80">
                  <c:v>6.8908774603099396E-3</c:v>
                </c:pt>
              </c:numCache>
            </c:numRef>
          </c:val>
          <c:extLst>
            <c:ext xmlns:c16="http://schemas.microsoft.com/office/drawing/2014/chart" uri="{C3380CC4-5D6E-409C-BE32-E72D297353CC}">
              <c16:uniqueId val="{0000007E-B0BD-44B6-BED5-7CDF3E877C37}"/>
            </c:ext>
          </c:extLst>
        </c:ser>
        <c:ser>
          <c:idx val="7"/>
          <c:order val="7"/>
          <c:tx>
            <c:strRef>
              <c:f>Interpolation!$S$10</c:f>
              <c:strCache>
                <c:ptCount val="1"/>
                <c:pt idx="0">
                  <c:v>30.7</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Interpolation!$T$10:$CV$10</c:f>
              <c:numCache>
                <c:formatCode>General</c:formatCode>
                <c:ptCount val="81"/>
                <c:pt idx="0">
                  <c:v>1.0227103585278624E-2</c:v>
                </c:pt>
                <c:pt idx="1">
                  <c:v>1.0061989003279629E-2</c:v>
                </c:pt>
                <c:pt idx="2">
                  <c:v>9.8999843744436277E-3</c:v>
                </c:pt>
                <c:pt idx="3">
                  <c:v>9.7410896987706209E-3</c:v>
                </c:pt>
                <c:pt idx="4">
                  <c:v>9.5853049762606064E-3</c:v>
                </c:pt>
                <c:pt idx="5">
                  <c:v>9.432630206913574E-3</c:v>
                </c:pt>
                <c:pt idx="6">
                  <c:v>9.2830653907295356E-3</c:v>
                </c:pt>
                <c:pt idx="7">
                  <c:v>9.1366105277084775E-3</c:v>
                </c:pt>
                <c:pt idx="8">
                  <c:v>8.9932656178504274E-3</c:v>
                </c:pt>
                <c:pt idx="9">
                  <c:v>8.8530306611553714E-3</c:v>
                </c:pt>
                <c:pt idx="10">
                  <c:v>8.7159056576232956E-3</c:v>
                </c:pt>
                <c:pt idx="11">
                  <c:v>8.5818906072542139E-3</c:v>
                </c:pt>
                <c:pt idx="12">
                  <c:v>8.4509855100481264E-3</c:v>
                </c:pt>
                <c:pt idx="13">
                  <c:v>8.323190366005033E-3</c:v>
                </c:pt>
                <c:pt idx="14">
                  <c:v>8.1985051751249181E-3</c:v>
                </c:pt>
                <c:pt idx="15">
                  <c:v>8.0769299374078059E-3</c:v>
                </c:pt>
                <c:pt idx="16">
                  <c:v>7.958464652853681E-3</c:v>
                </c:pt>
                <c:pt idx="17">
                  <c:v>7.8431093214625432E-3</c:v>
                </c:pt>
                <c:pt idx="18">
                  <c:v>7.7308639432344065E-3</c:v>
                </c:pt>
                <c:pt idx="19">
                  <c:v>7.621728518169257E-3</c:v>
                </c:pt>
                <c:pt idx="20">
                  <c:v>7.5157030462670946E-3</c:v>
                </c:pt>
                <c:pt idx="21">
                  <c:v>7.4127875275279325E-3</c:v>
                </c:pt>
                <c:pt idx="22">
                  <c:v>7.3129819619517583E-3</c:v>
                </c:pt>
                <c:pt idx="23">
                  <c:v>7.2162863495385714E-3</c:v>
                </c:pt>
                <c:pt idx="24">
                  <c:v>7.1227006902883777E-3</c:v>
                </c:pt>
                <c:pt idx="25">
                  <c:v>7.0322249842011721E-3</c:v>
                </c:pt>
                <c:pt idx="26">
                  <c:v>6.9448592312769675E-3</c:v>
                </c:pt>
                <c:pt idx="27">
                  <c:v>6.8606034315157501E-3</c:v>
                </c:pt>
                <c:pt idx="28">
                  <c:v>6.7794575849175198E-3</c:v>
                </c:pt>
                <c:pt idx="29">
                  <c:v>6.7014216914822837E-3</c:v>
                </c:pt>
                <c:pt idx="30">
                  <c:v>6.6264957512100408E-3</c:v>
                </c:pt>
                <c:pt idx="31">
                  <c:v>6.554679764100786E-3</c:v>
                </c:pt>
                <c:pt idx="32">
                  <c:v>6.4859737301545253E-3</c:v>
                </c:pt>
                <c:pt idx="33">
                  <c:v>6.4203776493712518E-3</c:v>
                </c:pt>
                <c:pt idx="34">
                  <c:v>6.3578915217509715E-3</c:v>
                </c:pt>
                <c:pt idx="35">
                  <c:v>6.2985153472936862E-3</c:v>
                </c:pt>
                <c:pt idx="36">
                  <c:v>6.2422491259993881E-3</c:v>
                </c:pt>
                <c:pt idx="37">
                  <c:v>6.1890928578680841E-3</c:v>
                </c:pt>
                <c:pt idx="38">
                  <c:v>6.1390465428997742E-3</c:v>
                </c:pt>
                <c:pt idx="39">
                  <c:v>6.0921101810944515E-3</c:v>
                </c:pt>
                <c:pt idx="40">
                  <c:v>6.0482837724521151E-3</c:v>
                </c:pt>
                <c:pt idx="41">
                  <c:v>6.0075673169727737E-3</c:v>
                </c:pt>
                <c:pt idx="42">
                  <c:v>5.9699608146564264E-3</c:v>
                </c:pt>
                <c:pt idx="43">
                  <c:v>5.9354642655030732E-3</c:v>
                </c:pt>
                <c:pt idx="44">
                  <c:v>5.9040776695127063E-3</c:v>
                </c:pt>
                <c:pt idx="45">
                  <c:v>5.8758010266853344E-3</c:v>
                </c:pt>
                <c:pt idx="46">
                  <c:v>5.8506343370209497E-3</c:v>
                </c:pt>
                <c:pt idx="47">
                  <c:v>5.8285776005195591E-3</c:v>
                </c:pt>
                <c:pt idx="48">
                  <c:v>5.8096308171811627E-3</c:v>
                </c:pt>
                <c:pt idx="49">
                  <c:v>5.7937939870057534E-3</c:v>
                </c:pt>
                <c:pt idx="50">
                  <c:v>5.7810671099933304E-3</c:v>
                </c:pt>
                <c:pt idx="51">
                  <c:v>5.7714501861439093E-3</c:v>
                </c:pt>
                <c:pt idx="52">
                  <c:v>5.7649432154574754E-3</c:v>
                </c:pt>
                <c:pt idx="53">
                  <c:v>5.7615461979340279E-3</c:v>
                </c:pt>
                <c:pt idx="54">
                  <c:v>5.7612591335735753E-3</c:v>
                </c:pt>
                <c:pt idx="55">
                  <c:v>5.7640820223761238E-3</c:v>
                </c:pt>
                <c:pt idx="56">
                  <c:v>5.7700148643416525E-3</c:v>
                </c:pt>
                <c:pt idx="57">
                  <c:v>5.7790576594701753E-3</c:v>
                </c:pt>
                <c:pt idx="58">
                  <c:v>5.7912104077616844E-3</c:v>
                </c:pt>
                <c:pt idx="59">
                  <c:v>5.8064731092161963E-3</c:v>
                </c:pt>
                <c:pt idx="60">
                  <c:v>5.8248457638336868E-3</c:v>
                </c:pt>
                <c:pt idx="61">
                  <c:v>5.8463283716141791E-3</c:v>
                </c:pt>
                <c:pt idx="62">
                  <c:v>5.8709209325576509E-3</c:v>
                </c:pt>
                <c:pt idx="63">
                  <c:v>5.8986234466641314E-3</c:v>
                </c:pt>
                <c:pt idx="64">
                  <c:v>5.9294359139335923E-3</c:v>
                </c:pt>
                <c:pt idx="65">
                  <c:v>5.9633583343660403E-3</c:v>
                </c:pt>
                <c:pt idx="66">
                  <c:v>6.0003907079614893E-3</c:v>
                </c:pt>
                <c:pt idx="67">
                  <c:v>6.0405330347199247E-3</c:v>
                </c:pt>
                <c:pt idx="68">
                  <c:v>6.083785314641355E-3</c:v>
                </c:pt>
                <c:pt idx="69">
                  <c:v>6.1301475477257726E-3</c:v>
                </c:pt>
                <c:pt idx="70">
                  <c:v>6.1796197339731834E-3</c:v>
                </c:pt>
                <c:pt idx="71">
                  <c:v>6.2322018733835822E-3</c:v>
                </c:pt>
                <c:pt idx="72">
                  <c:v>6.2878939659569751E-3</c:v>
                </c:pt>
                <c:pt idx="73">
                  <c:v>6.3466960116933622E-3</c:v>
                </c:pt>
                <c:pt idx="74">
                  <c:v>6.4086080105927295E-3</c:v>
                </c:pt>
                <c:pt idx="75">
                  <c:v>6.4736299626551048E-3</c:v>
                </c:pt>
                <c:pt idx="76">
                  <c:v>6.5417618678804603E-3</c:v>
                </c:pt>
                <c:pt idx="77">
                  <c:v>6.6130037262688091E-3</c:v>
                </c:pt>
                <c:pt idx="78">
                  <c:v>6.6873555378201529E-3</c:v>
                </c:pt>
                <c:pt idx="79">
                  <c:v>6.7648173025344907E-3</c:v>
                </c:pt>
                <c:pt idx="80">
                  <c:v>6.845389020411808E-3</c:v>
                </c:pt>
              </c:numCache>
            </c:numRef>
          </c:val>
          <c:extLst>
            <c:ext xmlns:c16="http://schemas.microsoft.com/office/drawing/2014/chart" uri="{C3380CC4-5D6E-409C-BE32-E72D297353CC}">
              <c16:uniqueId val="{0000007F-B0BD-44B6-BED5-7CDF3E877C37}"/>
            </c:ext>
          </c:extLst>
        </c:ser>
        <c:ser>
          <c:idx val="8"/>
          <c:order val="8"/>
          <c:tx>
            <c:strRef>
              <c:f>Interpolation!$S$11</c:f>
              <c:strCache>
                <c:ptCount val="1"/>
                <c:pt idx="0">
                  <c:v>30.8</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Interpolation!$T$11:$CV$11</c:f>
              <c:numCache>
                <c:formatCode>General</c:formatCode>
                <c:ptCount val="81"/>
                <c:pt idx="0">
                  <c:v>1.0190134045725954E-2</c:v>
                </c:pt>
                <c:pt idx="1">
                  <c:v>1.0024924233144225E-2</c:v>
                </c:pt>
                <c:pt idx="2">
                  <c:v>9.8628243737254907E-3</c:v>
                </c:pt>
                <c:pt idx="3">
                  <c:v>9.7038344674697519E-3</c:v>
                </c:pt>
                <c:pt idx="4">
                  <c:v>9.5479545143770054E-3</c:v>
                </c:pt>
                <c:pt idx="5">
                  <c:v>9.3951845144472391E-3</c:v>
                </c:pt>
                <c:pt idx="6">
                  <c:v>9.245524467680467E-3</c:v>
                </c:pt>
                <c:pt idx="7">
                  <c:v>9.0989743740766751E-3</c:v>
                </c:pt>
                <c:pt idx="8">
                  <c:v>8.955534233635893E-3</c:v>
                </c:pt>
                <c:pt idx="9">
                  <c:v>8.8152040463581032E-3</c:v>
                </c:pt>
                <c:pt idx="10">
                  <c:v>8.6779838122432937E-3</c:v>
                </c:pt>
                <c:pt idx="11">
                  <c:v>8.5438735312914783E-3</c:v>
                </c:pt>
                <c:pt idx="12">
                  <c:v>8.4128732035026587E-3</c:v>
                </c:pt>
                <c:pt idx="13">
                  <c:v>8.2849828288768315E-3</c:v>
                </c:pt>
                <c:pt idx="14">
                  <c:v>8.1602024074139846E-3</c:v>
                </c:pt>
                <c:pt idx="15">
                  <c:v>8.0385319391141387E-3</c:v>
                </c:pt>
                <c:pt idx="16">
                  <c:v>7.91997142397728E-3</c:v>
                </c:pt>
                <c:pt idx="17">
                  <c:v>7.8045208620034093E-3</c:v>
                </c:pt>
                <c:pt idx="18">
                  <c:v>7.6921802531925397E-3</c:v>
                </c:pt>
                <c:pt idx="19">
                  <c:v>7.5829495975446564E-3</c:v>
                </c:pt>
                <c:pt idx="20">
                  <c:v>7.4768288950597603E-3</c:v>
                </c:pt>
                <c:pt idx="21">
                  <c:v>7.3738181457378661E-3</c:v>
                </c:pt>
                <c:pt idx="22">
                  <c:v>7.2739173495789582E-3</c:v>
                </c:pt>
                <c:pt idx="23">
                  <c:v>7.1771265065830384E-3</c:v>
                </c:pt>
                <c:pt idx="24">
                  <c:v>7.0834456167501118E-3</c:v>
                </c:pt>
                <c:pt idx="25">
                  <c:v>6.9928746800801724E-3</c:v>
                </c:pt>
                <c:pt idx="26">
                  <c:v>6.9054136965732349E-3</c:v>
                </c:pt>
                <c:pt idx="27">
                  <c:v>6.8210626662292845E-3</c:v>
                </c:pt>
                <c:pt idx="28">
                  <c:v>6.7398215890483205E-3</c:v>
                </c:pt>
                <c:pt idx="29">
                  <c:v>6.6616904650303507E-3</c:v>
                </c:pt>
                <c:pt idx="30">
                  <c:v>6.5866692941753749E-3</c:v>
                </c:pt>
                <c:pt idx="31">
                  <c:v>6.5147580764833872E-3</c:v>
                </c:pt>
                <c:pt idx="32">
                  <c:v>6.4459568119543936E-3</c:v>
                </c:pt>
                <c:pt idx="33">
                  <c:v>6.3802655005883863E-3</c:v>
                </c:pt>
                <c:pt idx="34">
                  <c:v>6.3176841423853731E-3</c:v>
                </c:pt>
                <c:pt idx="35">
                  <c:v>6.258212737345354E-3</c:v>
                </c:pt>
                <c:pt idx="36">
                  <c:v>6.201851285468323E-3</c:v>
                </c:pt>
                <c:pt idx="37">
                  <c:v>6.1485997867542861E-3</c:v>
                </c:pt>
                <c:pt idx="38">
                  <c:v>6.0984582412032425E-3</c:v>
                </c:pt>
                <c:pt idx="39">
                  <c:v>6.051426648815186E-3</c:v>
                </c:pt>
                <c:pt idx="40">
                  <c:v>6.0075050095901176E-3</c:v>
                </c:pt>
                <c:pt idx="41">
                  <c:v>5.9666933235280424E-3</c:v>
                </c:pt>
                <c:pt idx="42">
                  <c:v>5.9289915906289622E-3</c:v>
                </c:pt>
                <c:pt idx="43">
                  <c:v>5.8943998108928752E-3</c:v>
                </c:pt>
                <c:pt idx="44">
                  <c:v>5.8629179843197755E-3</c:v>
                </c:pt>
                <c:pt idx="45">
                  <c:v>5.8345461109096698E-3</c:v>
                </c:pt>
                <c:pt idx="46">
                  <c:v>5.8092841906625522E-3</c:v>
                </c:pt>
                <c:pt idx="47">
                  <c:v>5.7871322235784287E-3</c:v>
                </c:pt>
                <c:pt idx="48">
                  <c:v>5.7680902096572985E-3</c:v>
                </c:pt>
                <c:pt idx="49">
                  <c:v>5.7521581488991554E-3</c:v>
                </c:pt>
                <c:pt idx="50">
                  <c:v>5.7393360413040004E-3</c:v>
                </c:pt>
                <c:pt idx="51">
                  <c:v>5.7296238868718465E-3</c:v>
                </c:pt>
                <c:pt idx="52">
                  <c:v>5.7230216856026788E-3</c:v>
                </c:pt>
                <c:pt idx="53">
                  <c:v>5.7195294374964983E-3</c:v>
                </c:pt>
                <c:pt idx="54">
                  <c:v>5.719147142553312E-3</c:v>
                </c:pt>
                <c:pt idx="55">
                  <c:v>5.7218748007731276E-3</c:v>
                </c:pt>
                <c:pt idx="56">
                  <c:v>5.7277124121559225E-3</c:v>
                </c:pt>
                <c:pt idx="57">
                  <c:v>5.7366599767017124E-3</c:v>
                </c:pt>
                <c:pt idx="58">
                  <c:v>5.7487174944104887E-3</c:v>
                </c:pt>
                <c:pt idx="59">
                  <c:v>5.7638849652822668E-3</c:v>
                </c:pt>
                <c:pt idx="60">
                  <c:v>5.7821623893170243E-3</c:v>
                </c:pt>
                <c:pt idx="61">
                  <c:v>5.8035497665147838E-3</c:v>
                </c:pt>
                <c:pt idx="62">
                  <c:v>5.8280470968755226E-3</c:v>
                </c:pt>
                <c:pt idx="63">
                  <c:v>5.8556543803992694E-3</c:v>
                </c:pt>
                <c:pt idx="64">
                  <c:v>5.8863716170859974E-3</c:v>
                </c:pt>
                <c:pt idx="65">
                  <c:v>5.9201988069357116E-3</c:v>
                </c:pt>
                <c:pt idx="66">
                  <c:v>5.9571359499484278E-3</c:v>
                </c:pt>
                <c:pt idx="67">
                  <c:v>5.9971830461241302E-3</c:v>
                </c:pt>
                <c:pt idx="68">
                  <c:v>6.0403400954628268E-3</c:v>
                </c:pt>
                <c:pt idx="69">
                  <c:v>6.0866070979645106E-3</c:v>
                </c:pt>
                <c:pt idx="70">
                  <c:v>6.1359840536291893E-3</c:v>
                </c:pt>
                <c:pt idx="71">
                  <c:v>6.1884709624568553E-3</c:v>
                </c:pt>
                <c:pt idx="72">
                  <c:v>6.2440678244475144E-3</c:v>
                </c:pt>
                <c:pt idx="73">
                  <c:v>6.3027746396011677E-3</c:v>
                </c:pt>
                <c:pt idx="74">
                  <c:v>6.3645914079178021E-3</c:v>
                </c:pt>
                <c:pt idx="75">
                  <c:v>6.4295181293974437E-3</c:v>
                </c:pt>
                <c:pt idx="76">
                  <c:v>6.4975548040400663E-3</c:v>
                </c:pt>
                <c:pt idx="77">
                  <c:v>6.5687014318456822E-3</c:v>
                </c:pt>
                <c:pt idx="78">
                  <c:v>6.6429580128142922E-3</c:v>
                </c:pt>
                <c:pt idx="79">
                  <c:v>6.7203245469458972E-3</c:v>
                </c:pt>
                <c:pt idx="80">
                  <c:v>6.8008010342404815E-3</c:v>
                </c:pt>
              </c:numCache>
            </c:numRef>
          </c:val>
          <c:extLst>
            <c:ext xmlns:c16="http://schemas.microsoft.com/office/drawing/2014/chart" uri="{C3380CC4-5D6E-409C-BE32-E72D297353CC}">
              <c16:uniqueId val="{00000080-B0BD-44B6-BED5-7CDF3E877C37}"/>
            </c:ext>
          </c:extLst>
        </c:ser>
        <c:ser>
          <c:idx val="9"/>
          <c:order val="9"/>
          <c:tx>
            <c:strRef>
              <c:f>Interpolation!$S$12</c:f>
              <c:strCache>
                <c:ptCount val="1"/>
                <c:pt idx="0">
                  <c:v>30.9</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Interpolation!$T$12:$CV$12</c:f>
              <c:numCache>
                <c:formatCode>General</c:formatCode>
                <c:ptCount val="81"/>
                <c:pt idx="0">
                  <c:v>1.0154064959900117E-2</c:v>
                </c:pt>
                <c:pt idx="1">
                  <c:v>9.988759916735656E-3</c:v>
                </c:pt>
                <c:pt idx="2">
                  <c:v>9.8265648267341875E-3</c:v>
                </c:pt>
                <c:pt idx="3">
                  <c:v>9.6674796898957149E-3</c:v>
                </c:pt>
                <c:pt idx="4">
                  <c:v>9.5115045062202346E-3</c:v>
                </c:pt>
                <c:pt idx="5">
                  <c:v>9.3586392757077363E-3</c:v>
                </c:pt>
                <c:pt idx="6">
                  <c:v>9.2088839983582305E-3</c:v>
                </c:pt>
                <c:pt idx="7">
                  <c:v>9.0622386741717065E-3</c:v>
                </c:pt>
                <c:pt idx="8">
                  <c:v>8.9187033031481889E-3</c:v>
                </c:pt>
                <c:pt idx="9">
                  <c:v>8.7782778852876671E-3</c:v>
                </c:pt>
                <c:pt idx="10">
                  <c:v>8.6409624205901238E-3</c:v>
                </c:pt>
                <c:pt idx="11">
                  <c:v>8.5067569090555763E-3</c:v>
                </c:pt>
                <c:pt idx="12">
                  <c:v>8.375661350684023E-3</c:v>
                </c:pt>
                <c:pt idx="13">
                  <c:v>8.2476757454754621E-3</c:v>
                </c:pt>
                <c:pt idx="14">
                  <c:v>8.1228000934298831E-3</c:v>
                </c:pt>
                <c:pt idx="15">
                  <c:v>8.0010343945473034E-3</c:v>
                </c:pt>
                <c:pt idx="16">
                  <c:v>7.8823786488277127E-3</c:v>
                </c:pt>
                <c:pt idx="17">
                  <c:v>7.7668328562711074E-3</c:v>
                </c:pt>
                <c:pt idx="18">
                  <c:v>7.654397016877504E-3</c:v>
                </c:pt>
                <c:pt idx="19">
                  <c:v>7.5450711306468878E-3</c:v>
                </c:pt>
                <c:pt idx="20">
                  <c:v>7.4388551975792597E-3</c:v>
                </c:pt>
                <c:pt idx="21">
                  <c:v>7.3357492176746308E-3</c:v>
                </c:pt>
                <c:pt idx="22">
                  <c:v>7.2357531909329909E-3</c:v>
                </c:pt>
                <c:pt idx="23">
                  <c:v>7.1388671173543364E-3</c:v>
                </c:pt>
                <c:pt idx="24">
                  <c:v>7.0450909969386778E-3</c:v>
                </c:pt>
                <c:pt idx="25">
                  <c:v>6.9544248296860055E-3</c:v>
                </c:pt>
                <c:pt idx="26">
                  <c:v>6.8668686155963343E-3</c:v>
                </c:pt>
                <c:pt idx="27">
                  <c:v>6.7824223546696502E-3</c:v>
                </c:pt>
                <c:pt idx="28">
                  <c:v>6.7010860469059533E-3</c:v>
                </c:pt>
                <c:pt idx="29">
                  <c:v>6.6228596923052505E-3</c:v>
                </c:pt>
                <c:pt idx="30">
                  <c:v>6.5477432908675418E-3</c:v>
                </c:pt>
                <c:pt idx="31">
                  <c:v>6.4757368425928203E-3</c:v>
                </c:pt>
                <c:pt idx="32">
                  <c:v>6.406840347481093E-3</c:v>
                </c:pt>
                <c:pt idx="33">
                  <c:v>6.3410538055323528E-3</c:v>
                </c:pt>
                <c:pt idx="34">
                  <c:v>6.2783772167466067E-3</c:v>
                </c:pt>
                <c:pt idx="35">
                  <c:v>6.2188105811238547E-3</c:v>
                </c:pt>
                <c:pt idx="36">
                  <c:v>6.1623538986640899E-3</c:v>
                </c:pt>
                <c:pt idx="37">
                  <c:v>6.1090071693673193E-3</c:v>
                </c:pt>
                <c:pt idx="38">
                  <c:v>6.0587703932335427E-3</c:v>
                </c:pt>
                <c:pt idx="39">
                  <c:v>6.0116435702627534E-3</c:v>
                </c:pt>
                <c:pt idx="40">
                  <c:v>5.9676267004549512E-3</c:v>
                </c:pt>
                <c:pt idx="41">
                  <c:v>5.926719783810144E-3</c:v>
                </c:pt>
                <c:pt idx="42">
                  <c:v>5.8889228203283291E-3</c:v>
                </c:pt>
                <c:pt idx="43">
                  <c:v>5.8542358100095102E-3</c:v>
                </c:pt>
                <c:pt idx="44">
                  <c:v>5.8226587528536766E-3</c:v>
                </c:pt>
                <c:pt idx="45">
                  <c:v>5.7941916488608389E-3</c:v>
                </c:pt>
                <c:pt idx="46">
                  <c:v>5.7688344980309867E-3</c:v>
                </c:pt>
                <c:pt idx="47">
                  <c:v>5.7465873003641303E-3</c:v>
                </c:pt>
                <c:pt idx="48">
                  <c:v>5.7274500558602672E-3</c:v>
                </c:pt>
                <c:pt idx="49">
                  <c:v>5.7114227645193912E-3</c:v>
                </c:pt>
                <c:pt idx="50">
                  <c:v>5.6985054263415024E-3</c:v>
                </c:pt>
                <c:pt idx="51">
                  <c:v>5.6886980413266147E-3</c:v>
                </c:pt>
                <c:pt idx="52">
                  <c:v>5.6820006094747142E-3</c:v>
                </c:pt>
                <c:pt idx="53">
                  <c:v>5.6784131307858008E-3</c:v>
                </c:pt>
                <c:pt idx="54">
                  <c:v>5.6779356052598816E-3</c:v>
                </c:pt>
                <c:pt idx="55">
                  <c:v>5.6805680328969634E-3</c:v>
                </c:pt>
                <c:pt idx="56">
                  <c:v>5.6863104136970254E-3</c:v>
                </c:pt>
                <c:pt idx="57">
                  <c:v>5.6951627476600816E-3</c:v>
                </c:pt>
                <c:pt idx="58">
                  <c:v>5.7071250347861249E-3</c:v>
                </c:pt>
                <c:pt idx="59">
                  <c:v>5.7221972750751693E-3</c:v>
                </c:pt>
                <c:pt idx="60">
                  <c:v>5.7403794685271948E-3</c:v>
                </c:pt>
                <c:pt idx="61">
                  <c:v>5.7616716151422196E-3</c:v>
                </c:pt>
                <c:pt idx="62">
                  <c:v>5.7860737149202264E-3</c:v>
                </c:pt>
                <c:pt idx="63">
                  <c:v>5.8135857678612395E-3</c:v>
                </c:pt>
                <c:pt idx="64">
                  <c:v>5.8442077739652345E-3</c:v>
                </c:pt>
                <c:pt idx="65">
                  <c:v>5.877939733232215E-3</c:v>
                </c:pt>
                <c:pt idx="66">
                  <c:v>5.9147816456621982E-3</c:v>
                </c:pt>
                <c:pt idx="67">
                  <c:v>5.9547335112551669E-3</c:v>
                </c:pt>
                <c:pt idx="68">
                  <c:v>5.9977953300111315E-3</c:v>
                </c:pt>
                <c:pt idx="69">
                  <c:v>6.0439671019300815E-3</c:v>
                </c:pt>
                <c:pt idx="70">
                  <c:v>6.0932488270120273E-3</c:v>
                </c:pt>
                <c:pt idx="71">
                  <c:v>6.1456405052569586E-3</c:v>
                </c:pt>
                <c:pt idx="72">
                  <c:v>6.2011421366648858E-3</c:v>
                </c:pt>
                <c:pt idx="73">
                  <c:v>6.259753721235807E-3</c:v>
                </c:pt>
                <c:pt idx="74">
                  <c:v>6.3214752589697068E-3</c:v>
                </c:pt>
                <c:pt idx="75">
                  <c:v>6.3863067498666154E-3</c:v>
                </c:pt>
                <c:pt idx="76">
                  <c:v>6.4542481939265043E-3</c:v>
                </c:pt>
                <c:pt idx="77">
                  <c:v>6.5252995911493873E-3</c:v>
                </c:pt>
                <c:pt idx="78">
                  <c:v>6.5994609415352644E-3</c:v>
                </c:pt>
                <c:pt idx="79">
                  <c:v>6.6767322450841356E-3</c:v>
                </c:pt>
                <c:pt idx="80">
                  <c:v>6.7571135017959871E-3</c:v>
                </c:pt>
              </c:numCache>
            </c:numRef>
          </c:val>
          <c:extLst>
            <c:ext xmlns:c16="http://schemas.microsoft.com/office/drawing/2014/chart" uri="{C3380CC4-5D6E-409C-BE32-E72D297353CC}">
              <c16:uniqueId val="{00000081-B0BD-44B6-BED5-7CDF3E877C37}"/>
            </c:ext>
          </c:extLst>
        </c:ser>
        <c:ser>
          <c:idx val="10"/>
          <c:order val="10"/>
          <c:tx>
            <c:strRef>
              <c:f>Interpolation!$S$13</c:f>
              <c:strCache>
                <c:ptCount val="1"/>
                <c:pt idx="0">
                  <c:v>31</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Interpolation!$T$13:$CV$13</c:f>
              <c:numCache>
                <c:formatCode>General</c:formatCode>
                <c:ptCount val="81"/>
                <c:pt idx="0">
                  <c:v>1.0118896327801077E-2</c:v>
                </c:pt>
                <c:pt idx="1">
                  <c:v>9.9534960540538821E-3</c:v>
                </c:pt>
                <c:pt idx="2">
                  <c:v>9.7912057334696816E-3</c:v>
                </c:pt>
                <c:pt idx="3">
                  <c:v>9.6320253660484752E-3</c:v>
                </c:pt>
                <c:pt idx="4">
                  <c:v>9.4759549517902629E-3</c:v>
                </c:pt>
                <c:pt idx="5">
                  <c:v>9.3229944906950309E-3</c:v>
                </c:pt>
                <c:pt idx="6">
                  <c:v>9.1731439827627912E-3</c:v>
                </c:pt>
                <c:pt idx="7">
                  <c:v>9.0264034279935335E-3</c:v>
                </c:pt>
                <c:pt idx="8">
                  <c:v>8.8827728263872838E-3</c:v>
                </c:pt>
                <c:pt idx="9">
                  <c:v>8.7422521779440283E-3</c:v>
                </c:pt>
                <c:pt idx="10">
                  <c:v>8.6048414826637529E-3</c:v>
                </c:pt>
                <c:pt idx="11">
                  <c:v>8.4705407405464717E-3</c:v>
                </c:pt>
                <c:pt idx="12">
                  <c:v>8.3393499515921829E-3</c:v>
                </c:pt>
                <c:pt idx="13">
                  <c:v>8.2112691158008899E-3</c:v>
                </c:pt>
                <c:pt idx="14">
                  <c:v>8.0862982331725772E-3</c:v>
                </c:pt>
                <c:pt idx="15">
                  <c:v>7.9644373037072655E-3</c:v>
                </c:pt>
                <c:pt idx="16">
                  <c:v>7.845686327404941E-3</c:v>
                </c:pt>
                <c:pt idx="17">
                  <c:v>7.7300453042656028E-3</c:v>
                </c:pt>
                <c:pt idx="18">
                  <c:v>7.6175142342892665E-3</c:v>
                </c:pt>
                <c:pt idx="19">
                  <c:v>7.5080931174759174E-3</c:v>
                </c:pt>
                <c:pt idx="20">
                  <c:v>7.4017819538255546E-3</c:v>
                </c:pt>
                <c:pt idx="21">
                  <c:v>7.2985807433381938E-3</c:v>
                </c:pt>
                <c:pt idx="22">
                  <c:v>7.1984894860138201E-3</c:v>
                </c:pt>
                <c:pt idx="23">
                  <c:v>7.1015081818524327E-3</c:v>
                </c:pt>
                <c:pt idx="24">
                  <c:v>7.0076368308540403E-3</c:v>
                </c:pt>
                <c:pt idx="25">
                  <c:v>6.9168754330186351E-3</c:v>
                </c:pt>
                <c:pt idx="26">
                  <c:v>6.8292239883462301E-3</c:v>
                </c:pt>
                <c:pt idx="27">
                  <c:v>6.7446824968368131E-3</c:v>
                </c:pt>
                <c:pt idx="28">
                  <c:v>6.6632509584903833E-3</c:v>
                </c:pt>
                <c:pt idx="29">
                  <c:v>6.5849293733069468E-3</c:v>
                </c:pt>
                <c:pt idx="30">
                  <c:v>6.5097177412865052E-3</c:v>
                </c:pt>
                <c:pt idx="31">
                  <c:v>6.4376160624290508E-3</c:v>
                </c:pt>
                <c:pt idx="32">
                  <c:v>6.3686243367345905E-3</c:v>
                </c:pt>
                <c:pt idx="33">
                  <c:v>6.3027425642031166E-3</c:v>
                </c:pt>
                <c:pt idx="34">
                  <c:v>6.2399707448346376E-3</c:v>
                </c:pt>
                <c:pt idx="35">
                  <c:v>6.1803088786291527E-3</c:v>
                </c:pt>
                <c:pt idx="36">
                  <c:v>6.1237569655866542E-3</c:v>
                </c:pt>
                <c:pt idx="37">
                  <c:v>6.0703150057071506E-3</c:v>
                </c:pt>
                <c:pt idx="38">
                  <c:v>6.0199829989906403E-3</c:v>
                </c:pt>
                <c:pt idx="39">
                  <c:v>5.9727609454371181E-3</c:v>
                </c:pt>
                <c:pt idx="40">
                  <c:v>5.928648845046583E-3</c:v>
                </c:pt>
                <c:pt idx="41">
                  <c:v>5.887646697819042E-3</c:v>
                </c:pt>
                <c:pt idx="42">
                  <c:v>5.8497545037544943E-3</c:v>
                </c:pt>
                <c:pt idx="43">
                  <c:v>5.8149722628529415E-3</c:v>
                </c:pt>
                <c:pt idx="44">
                  <c:v>5.7832999751143751E-3</c:v>
                </c:pt>
                <c:pt idx="45">
                  <c:v>5.7547376405388036E-3</c:v>
                </c:pt>
                <c:pt idx="46">
                  <c:v>5.7292852591262194E-3</c:v>
                </c:pt>
                <c:pt idx="47">
                  <c:v>5.7069428308766292E-3</c:v>
                </c:pt>
                <c:pt idx="48">
                  <c:v>5.6877103557900332E-3</c:v>
                </c:pt>
                <c:pt idx="49">
                  <c:v>5.6715878338664235E-3</c:v>
                </c:pt>
                <c:pt idx="50">
                  <c:v>5.6585752651058018E-3</c:v>
                </c:pt>
                <c:pt idx="51">
                  <c:v>5.6486726495081803E-3</c:v>
                </c:pt>
                <c:pt idx="52">
                  <c:v>5.6418799870735468E-3</c:v>
                </c:pt>
                <c:pt idx="53">
                  <c:v>5.6381972778019006E-3</c:v>
                </c:pt>
                <c:pt idx="54">
                  <c:v>5.6376245216932476E-3</c:v>
                </c:pt>
                <c:pt idx="55">
                  <c:v>5.6401617187475965E-3</c:v>
                </c:pt>
                <c:pt idx="56">
                  <c:v>5.6458088689649247E-3</c:v>
                </c:pt>
                <c:pt idx="57">
                  <c:v>5.654565972345248E-3</c:v>
                </c:pt>
                <c:pt idx="58">
                  <c:v>5.6664330288885584E-3</c:v>
                </c:pt>
                <c:pt idx="59">
                  <c:v>5.6814100385948699E-3</c:v>
                </c:pt>
                <c:pt idx="60">
                  <c:v>5.6994970014641617E-3</c:v>
                </c:pt>
                <c:pt idx="61">
                  <c:v>5.7206939174964545E-3</c:v>
                </c:pt>
                <c:pt idx="62">
                  <c:v>5.7450007866917266E-3</c:v>
                </c:pt>
                <c:pt idx="63">
                  <c:v>5.7724176090500068E-3</c:v>
                </c:pt>
                <c:pt idx="64">
                  <c:v>5.802944384571268E-3</c:v>
                </c:pt>
                <c:pt idx="65">
                  <c:v>5.8365811132555165E-3</c:v>
                </c:pt>
                <c:pt idx="66">
                  <c:v>5.873327795102766E-3</c:v>
                </c:pt>
                <c:pt idx="67">
                  <c:v>5.9131844301130018E-3</c:v>
                </c:pt>
                <c:pt idx="68">
                  <c:v>5.9561510182862317E-3</c:v>
                </c:pt>
                <c:pt idx="69">
                  <c:v>6.0022275596224497E-3</c:v>
                </c:pt>
                <c:pt idx="70">
                  <c:v>6.0514140541216618E-3</c:v>
                </c:pt>
                <c:pt idx="71">
                  <c:v>6.103710501783861E-3</c:v>
                </c:pt>
                <c:pt idx="72">
                  <c:v>6.1591169026090544E-3</c:v>
                </c:pt>
                <c:pt idx="73">
                  <c:v>6.2176332565972419E-3</c:v>
                </c:pt>
                <c:pt idx="74">
                  <c:v>6.2792595637484096E-3</c:v>
                </c:pt>
                <c:pt idx="75">
                  <c:v>6.3439958240625836E-3</c:v>
                </c:pt>
                <c:pt idx="76">
                  <c:v>6.4118420375397396E-3</c:v>
                </c:pt>
                <c:pt idx="77">
                  <c:v>6.4827982041798897E-3</c:v>
                </c:pt>
                <c:pt idx="78">
                  <c:v>6.5568643239830339E-3</c:v>
                </c:pt>
                <c:pt idx="79">
                  <c:v>6.6340403969491714E-3</c:v>
                </c:pt>
                <c:pt idx="80">
                  <c:v>6.7143264230782899E-3</c:v>
                </c:pt>
              </c:numCache>
            </c:numRef>
          </c:val>
          <c:extLst>
            <c:ext xmlns:c16="http://schemas.microsoft.com/office/drawing/2014/chart" uri="{C3380CC4-5D6E-409C-BE32-E72D297353CC}">
              <c16:uniqueId val="{00000082-B0BD-44B6-BED5-7CDF3E877C37}"/>
            </c:ext>
          </c:extLst>
        </c:ser>
        <c:ser>
          <c:idx val="11"/>
          <c:order val="11"/>
          <c:tx>
            <c:strRef>
              <c:f>Interpolation!$S$14</c:f>
              <c:strCache>
                <c:ptCount val="1"/>
                <c:pt idx="0">
                  <c:v>31.1</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Interpolation!$T$14:$CV$14</c:f>
              <c:numCache>
                <c:formatCode>General</c:formatCode>
                <c:ptCount val="81"/>
                <c:pt idx="0">
                  <c:v>1.008462814942887E-2</c:v>
                </c:pt>
                <c:pt idx="1">
                  <c:v>9.9191326450989419E-3</c:v>
                </c:pt>
                <c:pt idx="2">
                  <c:v>9.7567470939320076E-3</c:v>
                </c:pt>
                <c:pt idx="3">
                  <c:v>9.5974714959280675E-3</c:v>
                </c:pt>
                <c:pt idx="4">
                  <c:v>9.4413058510871214E-3</c:v>
                </c:pt>
                <c:pt idx="5">
                  <c:v>9.2882501594091556E-3</c:v>
                </c:pt>
                <c:pt idx="6">
                  <c:v>9.138304420894184E-3</c:v>
                </c:pt>
                <c:pt idx="7">
                  <c:v>8.9914686355421942E-3</c:v>
                </c:pt>
                <c:pt idx="8">
                  <c:v>8.8477428033532108E-3</c:v>
                </c:pt>
                <c:pt idx="9">
                  <c:v>8.7071269243272215E-3</c:v>
                </c:pt>
                <c:pt idx="10">
                  <c:v>8.5696209984642124E-3</c:v>
                </c:pt>
                <c:pt idx="11">
                  <c:v>8.4352250257641974E-3</c:v>
                </c:pt>
                <c:pt idx="12">
                  <c:v>8.3039390062271765E-3</c:v>
                </c:pt>
                <c:pt idx="13">
                  <c:v>8.1757629398531498E-3</c:v>
                </c:pt>
                <c:pt idx="14">
                  <c:v>8.050696826642105E-3</c:v>
                </c:pt>
                <c:pt idx="15">
                  <c:v>7.9287406665940596E-3</c:v>
                </c:pt>
                <c:pt idx="16">
                  <c:v>7.8098944597090013E-3</c:v>
                </c:pt>
                <c:pt idx="17">
                  <c:v>7.6941582059869302E-3</c:v>
                </c:pt>
                <c:pt idx="18">
                  <c:v>7.5815319054278602E-3</c:v>
                </c:pt>
                <c:pt idx="19">
                  <c:v>7.4720155580317782E-3</c:v>
                </c:pt>
                <c:pt idx="20">
                  <c:v>7.3656091637986825E-3</c:v>
                </c:pt>
                <c:pt idx="21">
                  <c:v>7.2623127227285887E-3</c:v>
                </c:pt>
                <c:pt idx="22">
                  <c:v>7.1621262348214813E-3</c:v>
                </c:pt>
                <c:pt idx="23">
                  <c:v>7.065049700077361E-3</c:v>
                </c:pt>
                <c:pt idx="24">
                  <c:v>6.9710831184962348E-3</c:v>
                </c:pt>
                <c:pt idx="25">
                  <c:v>6.8802264900780967E-3</c:v>
                </c:pt>
                <c:pt idx="26">
                  <c:v>6.7924798148229588E-3</c:v>
                </c:pt>
                <c:pt idx="27">
                  <c:v>6.7078430927308089E-3</c:v>
                </c:pt>
                <c:pt idx="28">
                  <c:v>6.6263163238016454E-3</c:v>
                </c:pt>
                <c:pt idx="29">
                  <c:v>6.5478995080354759E-3</c:v>
                </c:pt>
                <c:pt idx="30">
                  <c:v>6.4725926454323006E-3</c:v>
                </c:pt>
                <c:pt idx="31">
                  <c:v>6.4003957359921133E-3</c:v>
                </c:pt>
                <c:pt idx="32">
                  <c:v>6.3313087797149193E-3</c:v>
                </c:pt>
                <c:pt idx="33">
                  <c:v>6.2653317766007124E-3</c:v>
                </c:pt>
                <c:pt idx="34">
                  <c:v>6.2024647266495005E-3</c:v>
                </c:pt>
                <c:pt idx="35">
                  <c:v>6.1427076298612819E-3</c:v>
                </c:pt>
                <c:pt idx="36">
                  <c:v>6.0860604862360505E-3</c:v>
                </c:pt>
                <c:pt idx="37">
                  <c:v>6.0325232957738131E-3</c:v>
                </c:pt>
                <c:pt idx="38">
                  <c:v>5.9820960584745708E-3</c:v>
                </c:pt>
                <c:pt idx="39">
                  <c:v>5.9347787743383148E-3</c:v>
                </c:pt>
                <c:pt idx="40">
                  <c:v>5.8905714433650459E-3</c:v>
                </c:pt>
                <c:pt idx="41">
                  <c:v>5.849474065554772E-3</c:v>
                </c:pt>
                <c:pt idx="42">
                  <c:v>5.8114866409074914E-3</c:v>
                </c:pt>
                <c:pt idx="43">
                  <c:v>5.7766091694232049E-3</c:v>
                </c:pt>
                <c:pt idx="44">
                  <c:v>5.7448416511019056E-3</c:v>
                </c:pt>
                <c:pt idx="45">
                  <c:v>5.7161840859436012E-3</c:v>
                </c:pt>
                <c:pt idx="46">
                  <c:v>5.6906364739482832E-3</c:v>
                </c:pt>
                <c:pt idx="47">
                  <c:v>5.6681988151159601E-3</c:v>
                </c:pt>
                <c:pt idx="48">
                  <c:v>5.6488711094466303E-3</c:v>
                </c:pt>
                <c:pt idx="49">
                  <c:v>5.6326533569402877E-3</c:v>
                </c:pt>
                <c:pt idx="50">
                  <c:v>5.6195455575969323E-3</c:v>
                </c:pt>
                <c:pt idx="51">
                  <c:v>5.6095477114165787E-3</c:v>
                </c:pt>
                <c:pt idx="52">
                  <c:v>5.6026598183992115E-3</c:v>
                </c:pt>
                <c:pt idx="53">
                  <c:v>5.5988818785448315E-3</c:v>
                </c:pt>
                <c:pt idx="54">
                  <c:v>5.5982138918534465E-3</c:v>
                </c:pt>
                <c:pt idx="55">
                  <c:v>5.6006558583250616E-3</c:v>
                </c:pt>
                <c:pt idx="56">
                  <c:v>5.606207777959657E-3</c:v>
                </c:pt>
                <c:pt idx="57">
                  <c:v>5.6148696507572465E-3</c:v>
                </c:pt>
                <c:pt idx="58">
                  <c:v>5.6266414767178231E-3</c:v>
                </c:pt>
                <c:pt idx="59">
                  <c:v>5.6415232558414026E-3</c:v>
                </c:pt>
                <c:pt idx="60">
                  <c:v>5.6595149881279606E-3</c:v>
                </c:pt>
                <c:pt idx="61">
                  <c:v>5.6806166735775196E-3</c:v>
                </c:pt>
                <c:pt idx="62">
                  <c:v>5.7048283121900589E-3</c:v>
                </c:pt>
                <c:pt idx="63">
                  <c:v>5.7321499039656061E-3</c:v>
                </c:pt>
                <c:pt idx="64">
                  <c:v>5.7625814489041345E-3</c:v>
                </c:pt>
                <c:pt idx="65">
                  <c:v>5.7961229470056492E-3</c:v>
                </c:pt>
                <c:pt idx="66">
                  <c:v>5.8327743982701649E-3</c:v>
                </c:pt>
                <c:pt idx="67">
                  <c:v>5.8725358026976687E-3</c:v>
                </c:pt>
                <c:pt idx="68">
                  <c:v>5.9154071602881657E-3</c:v>
                </c:pt>
                <c:pt idx="69">
                  <c:v>5.9613884710416499E-3</c:v>
                </c:pt>
                <c:pt idx="70">
                  <c:v>6.0104797349581282E-3</c:v>
                </c:pt>
                <c:pt idx="71">
                  <c:v>6.0626809520375937E-3</c:v>
                </c:pt>
                <c:pt idx="72">
                  <c:v>6.1179921222800551E-3</c:v>
                </c:pt>
                <c:pt idx="73">
                  <c:v>6.1764132456855088E-3</c:v>
                </c:pt>
                <c:pt idx="74">
                  <c:v>6.2379443222539428E-3</c:v>
                </c:pt>
                <c:pt idx="75">
                  <c:v>6.3025853519853847E-3</c:v>
                </c:pt>
                <c:pt idx="76">
                  <c:v>6.3703363348798069E-3</c:v>
                </c:pt>
                <c:pt idx="77">
                  <c:v>6.4411972709372232E-3</c:v>
                </c:pt>
                <c:pt idx="78">
                  <c:v>6.5151681601576346E-3</c:v>
                </c:pt>
                <c:pt idx="79">
                  <c:v>6.59224900254104E-3</c:v>
                </c:pt>
                <c:pt idx="80">
                  <c:v>6.6724397980874248E-3</c:v>
                </c:pt>
              </c:numCache>
            </c:numRef>
          </c:val>
          <c:extLst>
            <c:ext xmlns:c16="http://schemas.microsoft.com/office/drawing/2014/chart" uri="{C3380CC4-5D6E-409C-BE32-E72D297353CC}">
              <c16:uniqueId val="{00000083-B0BD-44B6-BED5-7CDF3E877C37}"/>
            </c:ext>
          </c:extLst>
        </c:ser>
        <c:ser>
          <c:idx val="12"/>
          <c:order val="12"/>
          <c:tx>
            <c:strRef>
              <c:f>Interpolation!$S$15</c:f>
              <c:strCache>
                <c:ptCount val="1"/>
                <c:pt idx="0">
                  <c:v>31.2</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Interpolation!$T$15:$CV$15</c:f>
              <c:numCache>
                <c:formatCode>General</c:formatCode>
                <c:ptCount val="81"/>
                <c:pt idx="0">
                  <c:v>1.005126042478348E-2</c:v>
                </c:pt>
                <c:pt idx="1">
                  <c:v>9.8856696898708182E-3</c:v>
                </c:pt>
                <c:pt idx="2">
                  <c:v>9.7231889081211519E-3</c:v>
                </c:pt>
                <c:pt idx="3">
                  <c:v>9.5638180795344779E-3</c:v>
                </c:pt>
                <c:pt idx="4">
                  <c:v>9.4075572041107999E-3</c:v>
                </c:pt>
                <c:pt idx="5">
                  <c:v>9.2544062818501003E-3</c:v>
                </c:pt>
                <c:pt idx="6">
                  <c:v>9.1043653127523966E-3</c:v>
                </c:pt>
                <c:pt idx="7">
                  <c:v>8.9574342968176714E-3</c:v>
                </c:pt>
                <c:pt idx="8">
                  <c:v>8.8136132340459541E-3</c:v>
                </c:pt>
                <c:pt idx="9">
                  <c:v>8.6729021244372328E-3</c:v>
                </c:pt>
                <c:pt idx="10">
                  <c:v>8.5353009679914899E-3</c:v>
                </c:pt>
                <c:pt idx="11">
                  <c:v>8.4008097647087429E-3</c:v>
                </c:pt>
                <c:pt idx="12">
                  <c:v>8.2694285145889883E-3</c:v>
                </c:pt>
                <c:pt idx="13">
                  <c:v>8.1411572176322295E-3</c:v>
                </c:pt>
                <c:pt idx="14">
                  <c:v>8.0159958738384492E-3</c:v>
                </c:pt>
                <c:pt idx="15">
                  <c:v>7.8939444832076718E-3</c:v>
                </c:pt>
                <c:pt idx="16">
                  <c:v>7.7750030457398797E-3</c:v>
                </c:pt>
                <c:pt idx="17">
                  <c:v>7.6591715614350757E-3</c:v>
                </c:pt>
                <c:pt idx="18">
                  <c:v>7.5464500302932728E-3</c:v>
                </c:pt>
                <c:pt idx="19">
                  <c:v>7.436838452314457E-3</c:v>
                </c:pt>
                <c:pt idx="20">
                  <c:v>7.3303368274986284E-3</c:v>
                </c:pt>
                <c:pt idx="21">
                  <c:v>7.2269451558458009E-3</c:v>
                </c:pt>
                <c:pt idx="22">
                  <c:v>7.1266634373559606E-3</c:v>
                </c:pt>
                <c:pt idx="23">
                  <c:v>7.0294916720291074E-3</c:v>
                </c:pt>
                <c:pt idx="24">
                  <c:v>6.9354298598652483E-3</c:v>
                </c:pt>
                <c:pt idx="25">
                  <c:v>6.8444780008643765E-3</c:v>
                </c:pt>
                <c:pt idx="26">
                  <c:v>6.7566360950265057E-3</c:v>
                </c:pt>
                <c:pt idx="27">
                  <c:v>6.671904142351622E-3</c:v>
                </c:pt>
                <c:pt idx="28">
                  <c:v>6.5902821428397255E-3</c:v>
                </c:pt>
                <c:pt idx="29">
                  <c:v>6.5117700964908223E-3</c:v>
                </c:pt>
                <c:pt idx="30">
                  <c:v>6.436368003304915E-3</c:v>
                </c:pt>
                <c:pt idx="31">
                  <c:v>6.3640758632819939E-3</c:v>
                </c:pt>
                <c:pt idx="32">
                  <c:v>6.294893676422067E-3</c:v>
                </c:pt>
                <c:pt idx="33">
                  <c:v>6.2288214427251264E-3</c:v>
                </c:pt>
                <c:pt idx="34">
                  <c:v>6.1658591621911807E-3</c:v>
                </c:pt>
                <c:pt idx="35">
                  <c:v>6.1060068348202292E-3</c:v>
                </c:pt>
                <c:pt idx="36">
                  <c:v>6.0492644606122649E-3</c:v>
                </c:pt>
                <c:pt idx="37">
                  <c:v>5.9956320395672946E-3</c:v>
                </c:pt>
                <c:pt idx="38">
                  <c:v>5.9451095716853185E-3</c:v>
                </c:pt>
                <c:pt idx="39">
                  <c:v>5.8976970569663296E-3</c:v>
                </c:pt>
                <c:pt idx="40">
                  <c:v>5.8533944954103278E-3</c:v>
                </c:pt>
                <c:pt idx="41">
                  <c:v>5.8122018870173202E-3</c:v>
                </c:pt>
                <c:pt idx="42">
                  <c:v>5.7741192317873067E-3</c:v>
                </c:pt>
                <c:pt idx="43">
                  <c:v>5.7391465297202873E-3</c:v>
                </c:pt>
                <c:pt idx="44">
                  <c:v>5.7072837808162542E-3</c:v>
                </c:pt>
                <c:pt idx="45">
                  <c:v>5.6785309850752169E-3</c:v>
                </c:pt>
                <c:pt idx="46">
                  <c:v>5.6528881424971651E-3</c:v>
                </c:pt>
                <c:pt idx="47">
                  <c:v>5.6303552530821092E-3</c:v>
                </c:pt>
                <c:pt idx="48">
                  <c:v>5.6109323168300465E-3</c:v>
                </c:pt>
                <c:pt idx="49">
                  <c:v>5.594619333740971E-3</c:v>
                </c:pt>
                <c:pt idx="50">
                  <c:v>5.5814163038148817E-3</c:v>
                </c:pt>
                <c:pt idx="51">
                  <c:v>5.5713232270517953E-3</c:v>
                </c:pt>
                <c:pt idx="52">
                  <c:v>5.5643401034516943E-3</c:v>
                </c:pt>
                <c:pt idx="53">
                  <c:v>5.5604669330145814E-3</c:v>
                </c:pt>
                <c:pt idx="54">
                  <c:v>5.5597037157404626E-3</c:v>
                </c:pt>
                <c:pt idx="55">
                  <c:v>5.5620504516293448E-3</c:v>
                </c:pt>
                <c:pt idx="56">
                  <c:v>5.5675071406812073E-3</c:v>
                </c:pt>
                <c:pt idx="57">
                  <c:v>5.576073782896063E-3</c:v>
                </c:pt>
                <c:pt idx="58">
                  <c:v>5.5877503782739077E-3</c:v>
                </c:pt>
                <c:pt idx="59">
                  <c:v>5.6025369268147525E-3</c:v>
                </c:pt>
                <c:pt idx="60">
                  <c:v>5.6204334285185776E-3</c:v>
                </c:pt>
                <c:pt idx="61">
                  <c:v>5.6414398833854037E-3</c:v>
                </c:pt>
                <c:pt idx="62">
                  <c:v>5.6655562914152101E-3</c:v>
                </c:pt>
                <c:pt idx="63">
                  <c:v>5.6927826526080244E-3</c:v>
                </c:pt>
                <c:pt idx="64">
                  <c:v>5.723118966963819E-3</c:v>
                </c:pt>
                <c:pt idx="65">
                  <c:v>5.7565652344825999E-3</c:v>
                </c:pt>
                <c:pt idx="66">
                  <c:v>5.7931214551643836E-3</c:v>
                </c:pt>
                <c:pt idx="67">
                  <c:v>5.8327876290091528E-3</c:v>
                </c:pt>
                <c:pt idx="68">
                  <c:v>5.8755637560169169E-3</c:v>
                </c:pt>
                <c:pt idx="69">
                  <c:v>5.9214498361876682E-3</c:v>
                </c:pt>
                <c:pt idx="70">
                  <c:v>5.9704458695214136E-3</c:v>
                </c:pt>
                <c:pt idx="71">
                  <c:v>6.0225518560181462E-3</c:v>
                </c:pt>
                <c:pt idx="72">
                  <c:v>6.0777677956778738E-3</c:v>
                </c:pt>
                <c:pt idx="73">
                  <c:v>6.1360936885005938E-3</c:v>
                </c:pt>
                <c:pt idx="74">
                  <c:v>6.1975295344862957E-3</c:v>
                </c:pt>
                <c:pt idx="75">
                  <c:v>6.2620753336350039E-3</c:v>
                </c:pt>
                <c:pt idx="76">
                  <c:v>6.3297310859466932E-3</c:v>
                </c:pt>
                <c:pt idx="77">
                  <c:v>6.4004967914213767E-3</c:v>
                </c:pt>
                <c:pt idx="78">
                  <c:v>6.4743724500590533E-3</c:v>
                </c:pt>
                <c:pt idx="79">
                  <c:v>6.5513580618597259E-3</c:v>
                </c:pt>
                <c:pt idx="80">
                  <c:v>6.6314536268233769E-3</c:v>
                </c:pt>
              </c:numCache>
            </c:numRef>
          </c:val>
          <c:extLst>
            <c:ext xmlns:c16="http://schemas.microsoft.com/office/drawing/2014/chart" uri="{C3380CC4-5D6E-409C-BE32-E72D297353CC}">
              <c16:uniqueId val="{00000084-B0BD-44B6-BED5-7CDF3E877C37}"/>
            </c:ext>
          </c:extLst>
        </c:ser>
        <c:ser>
          <c:idx val="13"/>
          <c:order val="13"/>
          <c:tx>
            <c:strRef>
              <c:f>Interpolation!$S$16</c:f>
              <c:strCache>
                <c:ptCount val="1"/>
                <c:pt idx="0">
                  <c:v>31.3</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Interpolation!$T$16:$CV$16</c:f>
              <c:numCache>
                <c:formatCode>General</c:formatCode>
                <c:ptCount val="81"/>
                <c:pt idx="0">
                  <c:v>1.0018793153864902E-2</c:v>
                </c:pt>
                <c:pt idx="1">
                  <c:v>9.8531071883695073E-3</c:v>
                </c:pt>
                <c:pt idx="2">
                  <c:v>9.6905311760371055E-3</c:v>
                </c:pt>
                <c:pt idx="3">
                  <c:v>9.5310651168676996E-3</c:v>
                </c:pt>
                <c:pt idx="4">
                  <c:v>9.3747090108612877E-3</c:v>
                </c:pt>
                <c:pt idx="5">
                  <c:v>9.2214628580178561E-3</c:v>
                </c:pt>
                <c:pt idx="6">
                  <c:v>9.0713266583374186E-3</c:v>
                </c:pt>
                <c:pt idx="7">
                  <c:v>8.9243004118199597E-3</c:v>
                </c:pt>
                <c:pt idx="8">
                  <c:v>8.7803841184655104E-3</c:v>
                </c:pt>
                <c:pt idx="9">
                  <c:v>8.6395777782740553E-3</c:v>
                </c:pt>
                <c:pt idx="10">
                  <c:v>8.5018813912455804E-3</c:v>
                </c:pt>
                <c:pt idx="11">
                  <c:v>8.3672949573800996E-3</c:v>
                </c:pt>
                <c:pt idx="12">
                  <c:v>8.2358184766776112E-3</c:v>
                </c:pt>
                <c:pt idx="13">
                  <c:v>8.1074519491381187E-3</c:v>
                </c:pt>
                <c:pt idx="14">
                  <c:v>7.9821953747616064E-3</c:v>
                </c:pt>
                <c:pt idx="15">
                  <c:v>7.8600487535480951E-3</c:v>
                </c:pt>
                <c:pt idx="16">
                  <c:v>7.7410120854975702E-3</c:v>
                </c:pt>
                <c:pt idx="17">
                  <c:v>7.6250853706100324E-3</c:v>
                </c:pt>
                <c:pt idx="18">
                  <c:v>7.5122686088854966E-3</c:v>
                </c:pt>
                <c:pt idx="19">
                  <c:v>7.4025618003239479E-3</c:v>
                </c:pt>
                <c:pt idx="20">
                  <c:v>7.2959649449253856E-3</c:v>
                </c:pt>
                <c:pt idx="21">
                  <c:v>7.1924780426898252E-3</c:v>
                </c:pt>
                <c:pt idx="22">
                  <c:v>7.0921010936172511E-3</c:v>
                </c:pt>
                <c:pt idx="23">
                  <c:v>6.994834097707665E-3</c:v>
                </c:pt>
                <c:pt idx="24">
                  <c:v>6.9006770549610722E-3</c:v>
                </c:pt>
                <c:pt idx="25">
                  <c:v>6.8096299653774674E-3</c:v>
                </c:pt>
                <c:pt idx="26">
                  <c:v>6.7216928289568637E-3</c:v>
                </c:pt>
                <c:pt idx="27">
                  <c:v>6.6368656456992463E-3</c:v>
                </c:pt>
                <c:pt idx="28">
                  <c:v>6.5551484156046169E-3</c:v>
                </c:pt>
                <c:pt idx="29">
                  <c:v>6.4765411386729808E-3</c:v>
                </c:pt>
                <c:pt idx="30">
                  <c:v>6.4010438149043397E-3</c:v>
                </c:pt>
                <c:pt idx="31">
                  <c:v>6.3286564442986849E-3</c:v>
                </c:pt>
                <c:pt idx="32">
                  <c:v>6.259379026856025E-3</c:v>
                </c:pt>
                <c:pt idx="33">
                  <c:v>6.1932115625763524E-3</c:v>
                </c:pt>
                <c:pt idx="34">
                  <c:v>6.130154051459673E-3</c:v>
                </c:pt>
                <c:pt idx="35">
                  <c:v>6.0702064935059885E-3</c:v>
                </c:pt>
                <c:pt idx="36">
                  <c:v>6.0133688887152904E-3</c:v>
                </c:pt>
                <c:pt idx="37">
                  <c:v>5.9596412370875873E-3</c:v>
                </c:pt>
                <c:pt idx="38">
                  <c:v>5.9090235386228774E-3</c:v>
                </c:pt>
                <c:pt idx="39">
                  <c:v>5.8615157933211556E-3</c:v>
                </c:pt>
                <c:pt idx="40">
                  <c:v>5.8171180011824201E-3</c:v>
                </c:pt>
                <c:pt idx="41">
                  <c:v>5.7758301622066795E-3</c:v>
                </c:pt>
                <c:pt idx="42">
                  <c:v>5.7376522763939331E-3</c:v>
                </c:pt>
                <c:pt idx="43">
                  <c:v>5.7025843437441799E-3</c:v>
                </c:pt>
                <c:pt idx="44">
                  <c:v>5.670626364257414E-3</c:v>
                </c:pt>
                <c:pt idx="45">
                  <c:v>5.6417783379336429E-3</c:v>
                </c:pt>
                <c:pt idx="46">
                  <c:v>5.6160402647728591E-3</c:v>
                </c:pt>
                <c:pt idx="47">
                  <c:v>5.5934121447750694E-3</c:v>
                </c:pt>
                <c:pt idx="48">
                  <c:v>5.5738939779402729E-3</c:v>
                </c:pt>
                <c:pt idx="49">
                  <c:v>5.5574857642684645E-3</c:v>
                </c:pt>
                <c:pt idx="50">
                  <c:v>5.5441875037596424E-3</c:v>
                </c:pt>
                <c:pt idx="51">
                  <c:v>5.5339991964138222E-3</c:v>
                </c:pt>
                <c:pt idx="52">
                  <c:v>5.5269208422309892E-3</c:v>
                </c:pt>
                <c:pt idx="53">
                  <c:v>5.5229524412111425E-3</c:v>
                </c:pt>
                <c:pt idx="54">
                  <c:v>5.5220939933542899E-3</c:v>
                </c:pt>
                <c:pt idx="55">
                  <c:v>5.5243454986604393E-3</c:v>
                </c:pt>
                <c:pt idx="56">
                  <c:v>5.5297069571295689E-3</c:v>
                </c:pt>
                <c:pt idx="57">
                  <c:v>5.5381783687616917E-3</c:v>
                </c:pt>
                <c:pt idx="58">
                  <c:v>5.5497597335568017E-3</c:v>
                </c:pt>
                <c:pt idx="59">
                  <c:v>5.5644510515149136E-3</c:v>
                </c:pt>
                <c:pt idx="60">
                  <c:v>5.5822523226360058E-3</c:v>
                </c:pt>
                <c:pt idx="61">
                  <c:v>5.603163546920099E-3</c:v>
                </c:pt>
                <c:pt idx="62">
                  <c:v>5.6271847243671725E-3</c:v>
                </c:pt>
                <c:pt idx="63">
                  <c:v>5.6543158549772531E-3</c:v>
                </c:pt>
                <c:pt idx="64">
                  <c:v>5.6845569387503139E-3</c:v>
                </c:pt>
                <c:pt idx="65">
                  <c:v>5.7179079756863628E-3</c:v>
                </c:pt>
                <c:pt idx="66">
                  <c:v>5.7543689657854119E-3</c:v>
                </c:pt>
                <c:pt idx="67">
                  <c:v>5.7939399090474481E-3</c:v>
                </c:pt>
                <c:pt idx="68">
                  <c:v>5.8366208054724793E-3</c:v>
                </c:pt>
                <c:pt idx="69">
                  <c:v>5.8824116550604977E-3</c:v>
                </c:pt>
                <c:pt idx="70">
                  <c:v>5.9313124578115103E-3</c:v>
                </c:pt>
                <c:pt idx="71">
                  <c:v>5.9833232137255091E-3</c:v>
                </c:pt>
                <c:pt idx="72">
                  <c:v>6.0384439228025029E-3</c:v>
                </c:pt>
                <c:pt idx="73">
                  <c:v>6.09667458504249E-3</c:v>
                </c:pt>
                <c:pt idx="74">
                  <c:v>6.1580152004454582E-3</c:v>
                </c:pt>
                <c:pt idx="75">
                  <c:v>6.2224657690114343E-3</c:v>
                </c:pt>
                <c:pt idx="76">
                  <c:v>6.2900262907403899E-3</c:v>
                </c:pt>
                <c:pt idx="77">
                  <c:v>6.3606967656323395E-3</c:v>
                </c:pt>
                <c:pt idx="78">
                  <c:v>6.4344771936872842E-3</c:v>
                </c:pt>
                <c:pt idx="79">
                  <c:v>6.5113675749052229E-3</c:v>
                </c:pt>
                <c:pt idx="80">
                  <c:v>6.5913679092861419E-3</c:v>
                </c:pt>
              </c:numCache>
            </c:numRef>
          </c:val>
          <c:extLst>
            <c:ext xmlns:c16="http://schemas.microsoft.com/office/drawing/2014/chart" uri="{C3380CC4-5D6E-409C-BE32-E72D297353CC}">
              <c16:uniqueId val="{00000085-B0BD-44B6-BED5-7CDF3E877C37}"/>
            </c:ext>
          </c:extLst>
        </c:ser>
        <c:ser>
          <c:idx val="14"/>
          <c:order val="14"/>
          <c:tx>
            <c:strRef>
              <c:f>Interpolation!$S$17</c:f>
              <c:strCache>
                <c:ptCount val="1"/>
                <c:pt idx="0">
                  <c:v>31.4</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Interpolation!$T$17:$CV$17</c:f>
              <c:numCache>
                <c:formatCode>General</c:formatCode>
                <c:ptCount val="81"/>
                <c:pt idx="0">
                  <c:v>9.9872263366731478E-3</c:v>
                </c:pt>
                <c:pt idx="1">
                  <c:v>9.8214451405950198E-3</c:v>
                </c:pt>
                <c:pt idx="2">
                  <c:v>9.658773897679886E-3</c:v>
                </c:pt>
                <c:pt idx="3">
                  <c:v>9.4992126079277463E-3</c:v>
                </c:pt>
                <c:pt idx="4">
                  <c:v>9.3427612713386007E-3</c:v>
                </c:pt>
                <c:pt idx="5">
                  <c:v>9.189419887912437E-3</c:v>
                </c:pt>
                <c:pt idx="6">
                  <c:v>9.0391884576492658E-3</c:v>
                </c:pt>
                <c:pt idx="7">
                  <c:v>8.8920669805490748E-3</c:v>
                </c:pt>
                <c:pt idx="8">
                  <c:v>8.7480554566118918E-3</c:v>
                </c:pt>
                <c:pt idx="9">
                  <c:v>8.6071538858377029E-3</c:v>
                </c:pt>
                <c:pt idx="10">
                  <c:v>8.4693622682264942E-3</c:v>
                </c:pt>
                <c:pt idx="11">
                  <c:v>8.3346806037782797E-3</c:v>
                </c:pt>
                <c:pt idx="12">
                  <c:v>8.2031088924930592E-3</c:v>
                </c:pt>
                <c:pt idx="13">
                  <c:v>8.0746471343708329E-3</c:v>
                </c:pt>
                <c:pt idx="14">
                  <c:v>7.9492953294115869E-3</c:v>
                </c:pt>
                <c:pt idx="15">
                  <c:v>7.8270534776153436E-3</c:v>
                </c:pt>
                <c:pt idx="16">
                  <c:v>7.7079215789820849E-3</c:v>
                </c:pt>
                <c:pt idx="17">
                  <c:v>7.5918996335118142E-3</c:v>
                </c:pt>
                <c:pt idx="18">
                  <c:v>7.4789876412045455E-3</c:v>
                </c:pt>
                <c:pt idx="19">
                  <c:v>7.3691856020602631E-3</c:v>
                </c:pt>
                <c:pt idx="20">
                  <c:v>7.2624935160789678E-3</c:v>
                </c:pt>
                <c:pt idx="21">
                  <c:v>7.1589113832606736E-3</c:v>
                </c:pt>
                <c:pt idx="22">
                  <c:v>7.0584392036053666E-3</c:v>
                </c:pt>
                <c:pt idx="23">
                  <c:v>6.9610769771130468E-3</c:v>
                </c:pt>
                <c:pt idx="24">
                  <c:v>6.8668247037837219E-3</c:v>
                </c:pt>
                <c:pt idx="25">
                  <c:v>6.7756823836173834E-3</c:v>
                </c:pt>
                <c:pt idx="26">
                  <c:v>6.6876500166140468E-3</c:v>
                </c:pt>
                <c:pt idx="27">
                  <c:v>6.6027276027736965E-3</c:v>
                </c:pt>
                <c:pt idx="28">
                  <c:v>6.5209151420963334E-3</c:v>
                </c:pt>
                <c:pt idx="29">
                  <c:v>6.4422126345819643E-3</c:v>
                </c:pt>
                <c:pt idx="30">
                  <c:v>6.3666200802305895E-3</c:v>
                </c:pt>
                <c:pt idx="31">
                  <c:v>6.2941374790422017E-3</c:v>
                </c:pt>
                <c:pt idx="32">
                  <c:v>6.224764831016809E-3</c:v>
                </c:pt>
                <c:pt idx="33">
                  <c:v>6.1585021361544026E-3</c:v>
                </c:pt>
                <c:pt idx="34">
                  <c:v>6.0953493944549903E-3</c:v>
                </c:pt>
                <c:pt idx="35">
                  <c:v>6.0353066059185721E-3</c:v>
                </c:pt>
                <c:pt idx="36">
                  <c:v>5.9783737705451411E-3</c:v>
                </c:pt>
                <c:pt idx="37">
                  <c:v>5.9245508883347051E-3</c:v>
                </c:pt>
                <c:pt idx="38">
                  <c:v>5.8738379592872623E-3</c:v>
                </c:pt>
                <c:pt idx="39">
                  <c:v>5.8262349834028067E-3</c:v>
                </c:pt>
                <c:pt idx="40">
                  <c:v>5.7817419606813383E-3</c:v>
                </c:pt>
                <c:pt idx="41">
                  <c:v>5.740358891122864E-3</c:v>
                </c:pt>
                <c:pt idx="42">
                  <c:v>5.7020857747273846E-3</c:v>
                </c:pt>
                <c:pt idx="43">
                  <c:v>5.6669226114948986E-3</c:v>
                </c:pt>
                <c:pt idx="44">
                  <c:v>5.6348694014253997E-3</c:v>
                </c:pt>
                <c:pt idx="45">
                  <c:v>5.6059261445188949E-3</c:v>
                </c:pt>
                <c:pt idx="46">
                  <c:v>5.5800928407753773E-3</c:v>
                </c:pt>
                <c:pt idx="47">
                  <c:v>5.5573694901948547E-3</c:v>
                </c:pt>
                <c:pt idx="48">
                  <c:v>5.5377560927773253E-3</c:v>
                </c:pt>
                <c:pt idx="49">
                  <c:v>5.5212526485227831E-3</c:v>
                </c:pt>
                <c:pt idx="50">
                  <c:v>5.5078591574312281E-3</c:v>
                </c:pt>
                <c:pt idx="51">
                  <c:v>5.4975756195026742E-3</c:v>
                </c:pt>
                <c:pt idx="52">
                  <c:v>5.4904020347371083E-3</c:v>
                </c:pt>
                <c:pt idx="53">
                  <c:v>5.4863384031345287E-3</c:v>
                </c:pt>
                <c:pt idx="54">
                  <c:v>5.4853847246949432E-3</c:v>
                </c:pt>
                <c:pt idx="55">
                  <c:v>5.4875409994183597E-3</c:v>
                </c:pt>
                <c:pt idx="56">
                  <c:v>5.4928072273047546E-3</c:v>
                </c:pt>
                <c:pt idx="57">
                  <c:v>5.5011834083541454E-3</c:v>
                </c:pt>
                <c:pt idx="58">
                  <c:v>5.5126695425665225E-3</c:v>
                </c:pt>
                <c:pt idx="59">
                  <c:v>5.5272656299419007E-3</c:v>
                </c:pt>
                <c:pt idx="60">
                  <c:v>5.5449716704802591E-3</c:v>
                </c:pt>
                <c:pt idx="61">
                  <c:v>5.5657876641816185E-3</c:v>
                </c:pt>
                <c:pt idx="62">
                  <c:v>5.5897136110459591E-3</c:v>
                </c:pt>
                <c:pt idx="63">
                  <c:v>5.6167495110733068E-3</c:v>
                </c:pt>
                <c:pt idx="64">
                  <c:v>5.6468953642636356E-3</c:v>
                </c:pt>
                <c:pt idx="65">
                  <c:v>5.6801511706169499E-3</c:v>
                </c:pt>
                <c:pt idx="66">
                  <c:v>5.7165169301332669E-3</c:v>
                </c:pt>
                <c:pt idx="67">
                  <c:v>5.7559926428125702E-3</c:v>
                </c:pt>
                <c:pt idx="68">
                  <c:v>5.7985783086548677E-3</c:v>
                </c:pt>
                <c:pt idx="69">
                  <c:v>5.8442739276601523E-3</c:v>
                </c:pt>
                <c:pt idx="70">
                  <c:v>5.8930794998284311E-3</c:v>
                </c:pt>
                <c:pt idx="71">
                  <c:v>5.944995025159697E-3</c:v>
                </c:pt>
                <c:pt idx="72">
                  <c:v>6.000020503653958E-3</c:v>
                </c:pt>
                <c:pt idx="73">
                  <c:v>6.058155935311213E-3</c:v>
                </c:pt>
                <c:pt idx="74">
                  <c:v>6.1194013201314474E-3</c:v>
                </c:pt>
                <c:pt idx="75">
                  <c:v>6.1837566581146889E-3</c:v>
                </c:pt>
                <c:pt idx="76">
                  <c:v>6.2512219492609124E-3</c:v>
                </c:pt>
                <c:pt idx="77">
                  <c:v>6.3217971935701292E-3</c:v>
                </c:pt>
                <c:pt idx="78">
                  <c:v>6.3954823910423401E-3</c:v>
                </c:pt>
                <c:pt idx="79">
                  <c:v>6.4722775416775451E-3</c:v>
                </c:pt>
                <c:pt idx="80">
                  <c:v>6.5521826454757303E-3</c:v>
                </c:pt>
              </c:numCache>
            </c:numRef>
          </c:val>
          <c:extLst>
            <c:ext xmlns:c16="http://schemas.microsoft.com/office/drawing/2014/chart" uri="{C3380CC4-5D6E-409C-BE32-E72D297353CC}">
              <c16:uniqueId val="{00000086-B0BD-44B6-BED5-7CDF3E877C37}"/>
            </c:ext>
          </c:extLst>
        </c:ser>
        <c:ser>
          <c:idx val="15"/>
          <c:order val="15"/>
          <c:tx>
            <c:strRef>
              <c:f>Interpolation!$S$18</c:f>
              <c:strCache>
                <c:ptCount val="1"/>
                <c:pt idx="0">
                  <c:v>31.5</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Interpolation!$T$18:$CV$18</c:f>
              <c:numCache>
                <c:formatCode>General</c:formatCode>
                <c:ptCount val="81"/>
                <c:pt idx="0">
                  <c:v>9.9565599732082052E-3</c:v>
                </c:pt>
                <c:pt idx="1">
                  <c:v>9.7906835465473453E-3</c:v>
                </c:pt>
                <c:pt idx="2">
                  <c:v>9.6279170730494777E-3</c:v>
                </c:pt>
                <c:pt idx="3">
                  <c:v>9.4682605527146042E-3</c:v>
                </c:pt>
                <c:pt idx="4">
                  <c:v>9.3117139855427265E-3</c:v>
                </c:pt>
                <c:pt idx="5">
                  <c:v>9.1582773715338274E-3</c:v>
                </c:pt>
                <c:pt idx="6">
                  <c:v>9.0079507106879241E-3</c:v>
                </c:pt>
                <c:pt idx="7">
                  <c:v>8.8607340030049993E-3</c:v>
                </c:pt>
                <c:pt idx="8">
                  <c:v>8.7166272484850843E-3</c:v>
                </c:pt>
                <c:pt idx="9">
                  <c:v>8.5756304471281616E-3</c:v>
                </c:pt>
                <c:pt idx="10">
                  <c:v>8.4377435989342192E-3</c:v>
                </c:pt>
                <c:pt idx="11">
                  <c:v>8.3029667039032726E-3</c:v>
                </c:pt>
                <c:pt idx="12">
                  <c:v>8.1712997620353185E-3</c:v>
                </c:pt>
                <c:pt idx="13">
                  <c:v>8.0427427733303601E-3</c:v>
                </c:pt>
                <c:pt idx="14">
                  <c:v>7.9172957377883803E-3</c:v>
                </c:pt>
                <c:pt idx="15">
                  <c:v>7.7949586554094024E-3</c:v>
                </c:pt>
                <c:pt idx="16">
                  <c:v>7.6757315261934116E-3</c:v>
                </c:pt>
                <c:pt idx="17">
                  <c:v>7.5596143501404072E-3</c:v>
                </c:pt>
                <c:pt idx="18">
                  <c:v>7.4466071272504047E-3</c:v>
                </c:pt>
                <c:pt idx="19">
                  <c:v>7.3367098575233894E-3</c:v>
                </c:pt>
                <c:pt idx="20">
                  <c:v>7.2299225409593612E-3</c:v>
                </c:pt>
                <c:pt idx="21">
                  <c:v>7.1262451775583342E-3</c:v>
                </c:pt>
                <c:pt idx="22">
                  <c:v>7.0256777673202942E-3</c:v>
                </c:pt>
                <c:pt idx="23">
                  <c:v>6.9282203102452406E-3</c:v>
                </c:pt>
                <c:pt idx="24">
                  <c:v>6.833872806333182E-3</c:v>
                </c:pt>
                <c:pt idx="25">
                  <c:v>6.7426352555841106E-3</c:v>
                </c:pt>
                <c:pt idx="26">
                  <c:v>6.6545076579980402E-3</c:v>
                </c:pt>
                <c:pt idx="27">
                  <c:v>6.569490013574957E-3</c:v>
                </c:pt>
                <c:pt idx="28">
                  <c:v>6.487582322314861E-3</c:v>
                </c:pt>
                <c:pt idx="29">
                  <c:v>6.4087845842177582E-3</c:v>
                </c:pt>
                <c:pt idx="30">
                  <c:v>6.3330967992836504E-3</c:v>
                </c:pt>
                <c:pt idx="31">
                  <c:v>6.2605189675125298E-3</c:v>
                </c:pt>
                <c:pt idx="32">
                  <c:v>6.1910510889044033E-3</c:v>
                </c:pt>
                <c:pt idx="33">
                  <c:v>6.124693163459264E-3</c:v>
                </c:pt>
                <c:pt idx="34">
                  <c:v>6.0614451911771188E-3</c:v>
                </c:pt>
                <c:pt idx="35">
                  <c:v>6.0013071720579677E-3</c:v>
                </c:pt>
                <c:pt idx="36">
                  <c:v>5.9442791061018029E-3</c:v>
                </c:pt>
                <c:pt idx="37">
                  <c:v>5.8903609933086331E-3</c:v>
                </c:pt>
                <c:pt idx="38">
                  <c:v>5.8395528336784575E-3</c:v>
                </c:pt>
                <c:pt idx="39">
                  <c:v>5.791854627211269E-3</c:v>
                </c:pt>
                <c:pt idx="40">
                  <c:v>5.7472663739070676E-3</c:v>
                </c:pt>
                <c:pt idx="41">
                  <c:v>5.7057880737658596E-3</c:v>
                </c:pt>
                <c:pt idx="42">
                  <c:v>5.6674197267876474E-3</c:v>
                </c:pt>
                <c:pt idx="43">
                  <c:v>5.6321613329724275E-3</c:v>
                </c:pt>
                <c:pt idx="44">
                  <c:v>5.6000128923201957E-3</c:v>
                </c:pt>
                <c:pt idx="45">
                  <c:v>5.5709744048309581E-3</c:v>
                </c:pt>
                <c:pt idx="46">
                  <c:v>5.5450458705047067E-3</c:v>
                </c:pt>
                <c:pt idx="47">
                  <c:v>5.5222272893414512E-3</c:v>
                </c:pt>
                <c:pt idx="48">
                  <c:v>5.5025186613411881E-3</c:v>
                </c:pt>
                <c:pt idx="49">
                  <c:v>5.485919986503913E-3</c:v>
                </c:pt>
                <c:pt idx="50">
                  <c:v>5.4724312648296251E-3</c:v>
                </c:pt>
                <c:pt idx="51">
                  <c:v>5.4620524963183382E-3</c:v>
                </c:pt>
                <c:pt idx="52">
                  <c:v>5.4547836809700385E-3</c:v>
                </c:pt>
                <c:pt idx="53">
                  <c:v>5.4506248187847252E-3</c:v>
                </c:pt>
                <c:pt idx="54">
                  <c:v>5.4495759097624068E-3</c:v>
                </c:pt>
                <c:pt idx="55">
                  <c:v>5.4516369539030895E-3</c:v>
                </c:pt>
                <c:pt idx="56">
                  <c:v>5.4568079512067515E-3</c:v>
                </c:pt>
                <c:pt idx="57">
                  <c:v>5.4650889016734094E-3</c:v>
                </c:pt>
                <c:pt idx="58">
                  <c:v>5.4764798053030528E-3</c:v>
                </c:pt>
                <c:pt idx="59">
                  <c:v>5.4909806620956989E-3</c:v>
                </c:pt>
                <c:pt idx="60">
                  <c:v>5.5085914720513236E-3</c:v>
                </c:pt>
                <c:pt idx="61">
                  <c:v>5.529312235169951E-3</c:v>
                </c:pt>
                <c:pt idx="62">
                  <c:v>5.5531429514515569E-3</c:v>
                </c:pt>
                <c:pt idx="63">
                  <c:v>5.5800836208961717E-3</c:v>
                </c:pt>
                <c:pt idx="64">
                  <c:v>5.6101342435037668E-3</c:v>
                </c:pt>
                <c:pt idx="65">
                  <c:v>5.6432948192743481E-3</c:v>
                </c:pt>
                <c:pt idx="66">
                  <c:v>5.6795653482079314E-3</c:v>
                </c:pt>
                <c:pt idx="67">
                  <c:v>5.7189458303045018E-3</c:v>
                </c:pt>
                <c:pt idx="68">
                  <c:v>5.7614362655640664E-3</c:v>
                </c:pt>
                <c:pt idx="69">
                  <c:v>5.8070366539866181E-3</c:v>
                </c:pt>
                <c:pt idx="70">
                  <c:v>5.8557469955721631E-3</c:v>
                </c:pt>
                <c:pt idx="71">
                  <c:v>5.907567290320697E-3</c:v>
                </c:pt>
                <c:pt idx="72">
                  <c:v>5.9624975382322233E-3</c:v>
                </c:pt>
                <c:pt idx="73">
                  <c:v>6.0205377393067454E-3</c:v>
                </c:pt>
                <c:pt idx="74">
                  <c:v>6.0816878935442461E-3</c:v>
                </c:pt>
                <c:pt idx="75">
                  <c:v>6.1459480009447547E-3</c:v>
                </c:pt>
                <c:pt idx="76">
                  <c:v>6.2133180615082453E-3</c:v>
                </c:pt>
                <c:pt idx="77">
                  <c:v>6.2837980752347283E-3</c:v>
                </c:pt>
                <c:pt idx="78">
                  <c:v>6.3573880421242072E-3</c:v>
                </c:pt>
                <c:pt idx="79">
                  <c:v>6.4340879621766784E-3</c:v>
                </c:pt>
                <c:pt idx="80">
                  <c:v>6.5138978353921307E-3</c:v>
                </c:pt>
              </c:numCache>
            </c:numRef>
          </c:val>
          <c:extLst>
            <c:ext xmlns:c16="http://schemas.microsoft.com/office/drawing/2014/chart" uri="{C3380CC4-5D6E-409C-BE32-E72D297353CC}">
              <c16:uniqueId val="{00000087-B0BD-44B6-BED5-7CDF3E877C37}"/>
            </c:ext>
          </c:extLst>
        </c:ser>
        <c:ser>
          <c:idx val="16"/>
          <c:order val="16"/>
          <c:tx>
            <c:strRef>
              <c:f>Interpolation!$S$19</c:f>
              <c:strCache>
                <c:ptCount val="1"/>
                <c:pt idx="0">
                  <c:v>31.6</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Interpolation!$T$19:$CV$19</c:f>
              <c:numCache>
                <c:formatCode>General</c:formatCode>
                <c:ptCount val="81"/>
                <c:pt idx="0">
                  <c:v>9.9267940634700808E-3</c:v>
                </c:pt>
                <c:pt idx="1">
                  <c:v>9.7608224062264871E-3</c:v>
                </c:pt>
                <c:pt idx="2">
                  <c:v>9.5979607021458874E-3</c:v>
                </c:pt>
                <c:pt idx="3">
                  <c:v>9.4382089512282819E-3</c:v>
                </c:pt>
                <c:pt idx="4">
                  <c:v>9.2815671534736688E-3</c:v>
                </c:pt>
                <c:pt idx="5">
                  <c:v>9.1280353088820376E-3</c:v>
                </c:pt>
                <c:pt idx="6">
                  <c:v>8.9776134174534006E-3</c:v>
                </c:pt>
                <c:pt idx="7">
                  <c:v>8.830301479187742E-3</c:v>
                </c:pt>
                <c:pt idx="8">
                  <c:v>8.6860994940850932E-3</c:v>
                </c:pt>
                <c:pt idx="9">
                  <c:v>8.5450074621454385E-3</c:v>
                </c:pt>
                <c:pt idx="10">
                  <c:v>8.4070253833687641E-3</c:v>
                </c:pt>
                <c:pt idx="11">
                  <c:v>8.272153257755082E-3</c:v>
                </c:pt>
                <c:pt idx="12">
                  <c:v>8.1403910853043958E-3</c:v>
                </c:pt>
                <c:pt idx="13">
                  <c:v>8.0117388660167037E-3</c:v>
                </c:pt>
                <c:pt idx="14">
                  <c:v>7.8861965998919918E-3</c:v>
                </c:pt>
                <c:pt idx="15">
                  <c:v>7.7637642869302801E-3</c:v>
                </c:pt>
                <c:pt idx="16">
                  <c:v>7.6444419271315556E-3</c:v>
                </c:pt>
                <c:pt idx="17">
                  <c:v>7.5282295204958183E-3</c:v>
                </c:pt>
                <c:pt idx="18">
                  <c:v>7.4151270670230829E-3</c:v>
                </c:pt>
                <c:pt idx="19">
                  <c:v>7.3051345667133338E-3</c:v>
                </c:pt>
                <c:pt idx="20">
                  <c:v>7.1982520195665728E-3</c:v>
                </c:pt>
                <c:pt idx="21">
                  <c:v>7.0944794255828119E-3</c:v>
                </c:pt>
                <c:pt idx="22">
                  <c:v>6.9938167847620391E-3</c:v>
                </c:pt>
                <c:pt idx="23">
                  <c:v>6.8962640971042526E-3</c:v>
                </c:pt>
                <c:pt idx="24">
                  <c:v>6.8018213626094611E-3</c:v>
                </c:pt>
                <c:pt idx="25">
                  <c:v>6.7104885812776559E-3</c:v>
                </c:pt>
                <c:pt idx="26">
                  <c:v>6.6222657531088526E-3</c:v>
                </c:pt>
                <c:pt idx="27">
                  <c:v>6.5371528781030357E-3</c:v>
                </c:pt>
                <c:pt idx="28">
                  <c:v>6.4551499562602067E-3</c:v>
                </c:pt>
                <c:pt idx="29">
                  <c:v>6.3762569875803711E-3</c:v>
                </c:pt>
                <c:pt idx="30">
                  <c:v>6.3004739720635295E-3</c:v>
                </c:pt>
                <c:pt idx="31">
                  <c:v>6.227800909709676E-3</c:v>
                </c:pt>
                <c:pt idx="32">
                  <c:v>6.1582378005188166E-3</c:v>
                </c:pt>
                <c:pt idx="33">
                  <c:v>6.0917846444909435E-3</c:v>
                </c:pt>
                <c:pt idx="34">
                  <c:v>6.0284414416260645E-3</c:v>
                </c:pt>
                <c:pt idx="35">
                  <c:v>5.9682081919241806E-3</c:v>
                </c:pt>
                <c:pt idx="36">
                  <c:v>5.9110848953852829E-3</c:v>
                </c:pt>
                <c:pt idx="37">
                  <c:v>5.8570715520093802E-3</c:v>
                </c:pt>
                <c:pt idx="38">
                  <c:v>5.8061681617964708E-3</c:v>
                </c:pt>
                <c:pt idx="39">
                  <c:v>5.7583747247465494E-3</c:v>
                </c:pt>
                <c:pt idx="40">
                  <c:v>5.7136912408596143E-3</c:v>
                </c:pt>
                <c:pt idx="41">
                  <c:v>5.6721177101356742E-3</c:v>
                </c:pt>
                <c:pt idx="42">
                  <c:v>5.6336541325747273E-3</c:v>
                </c:pt>
                <c:pt idx="43">
                  <c:v>5.5983005081767755E-3</c:v>
                </c:pt>
                <c:pt idx="44">
                  <c:v>5.5660568369418099E-3</c:v>
                </c:pt>
                <c:pt idx="45">
                  <c:v>5.5369231188698385E-3</c:v>
                </c:pt>
                <c:pt idx="46">
                  <c:v>5.5108993539608551E-3</c:v>
                </c:pt>
                <c:pt idx="47">
                  <c:v>5.4879855422148658E-3</c:v>
                </c:pt>
                <c:pt idx="48">
                  <c:v>5.4681816836318698E-3</c:v>
                </c:pt>
                <c:pt idx="49">
                  <c:v>5.4514877782118609E-3</c:v>
                </c:pt>
                <c:pt idx="50">
                  <c:v>5.4379038259548401E-3</c:v>
                </c:pt>
                <c:pt idx="51">
                  <c:v>5.4274298268608204E-3</c:v>
                </c:pt>
                <c:pt idx="52">
                  <c:v>5.4200657809297869E-3</c:v>
                </c:pt>
                <c:pt idx="53">
                  <c:v>5.4158116881617407E-3</c:v>
                </c:pt>
                <c:pt idx="54">
                  <c:v>5.4146675485566894E-3</c:v>
                </c:pt>
                <c:pt idx="55">
                  <c:v>5.4166333621146392E-3</c:v>
                </c:pt>
                <c:pt idx="56">
                  <c:v>5.4217091288355675E-3</c:v>
                </c:pt>
                <c:pt idx="57">
                  <c:v>5.4298948487194916E-3</c:v>
                </c:pt>
                <c:pt idx="58">
                  <c:v>5.441190521766402E-3</c:v>
                </c:pt>
                <c:pt idx="59">
                  <c:v>5.4555961479763144E-3</c:v>
                </c:pt>
                <c:pt idx="60">
                  <c:v>5.4731117273492062E-3</c:v>
                </c:pt>
                <c:pt idx="61">
                  <c:v>5.4937372598850998E-3</c:v>
                </c:pt>
                <c:pt idx="62">
                  <c:v>5.5174727455839737E-3</c:v>
                </c:pt>
                <c:pt idx="63">
                  <c:v>5.5443181844458548E-3</c:v>
                </c:pt>
                <c:pt idx="64">
                  <c:v>5.574273576470716E-3</c:v>
                </c:pt>
                <c:pt idx="65">
                  <c:v>5.6073389216585653E-3</c:v>
                </c:pt>
                <c:pt idx="66">
                  <c:v>5.6435142200094148E-3</c:v>
                </c:pt>
                <c:pt idx="67">
                  <c:v>5.6827994715232515E-3</c:v>
                </c:pt>
                <c:pt idx="68">
                  <c:v>5.7251946762000832E-3</c:v>
                </c:pt>
                <c:pt idx="69">
                  <c:v>5.770699834039902E-3</c:v>
                </c:pt>
                <c:pt idx="70">
                  <c:v>5.8193149450427141E-3</c:v>
                </c:pt>
                <c:pt idx="71">
                  <c:v>5.8710400092085134E-3</c:v>
                </c:pt>
                <c:pt idx="72">
                  <c:v>5.9258750265373077E-3</c:v>
                </c:pt>
                <c:pt idx="73">
                  <c:v>5.983819997029096E-3</c:v>
                </c:pt>
                <c:pt idx="74">
                  <c:v>6.0448749206838646E-3</c:v>
                </c:pt>
                <c:pt idx="75">
                  <c:v>6.1090397975016395E-3</c:v>
                </c:pt>
                <c:pt idx="76">
                  <c:v>6.1763146274823964E-3</c:v>
                </c:pt>
                <c:pt idx="77">
                  <c:v>6.2466994106261465E-3</c:v>
                </c:pt>
                <c:pt idx="78">
                  <c:v>6.3201941469328907E-3</c:v>
                </c:pt>
                <c:pt idx="79">
                  <c:v>6.3967988364026299E-3</c:v>
                </c:pt>
                <c:pt idx="80">
                  <c:v>6.4765134790353493E-3</c:v>
                </c:pt>
              </c:numCache>
            </c:numRef>
          </c:val>
          <c:extLst>
            <c:ext xmlns:c16="http://schemas.microsoft.com/office/drawing/2014/chart" uri="{C3380CC4-5D6E-409C-BE32-E72D297353CC}">
              <c16:uniqueId val="{00000088-B0BD-44B6-BED5-7CDF3E877C37}"/>
            </c:ext>
          </c:extLst>
        </c:ser>
        <c:ser>
          <c:idx val="17"/>
          <c:order val="17"/>
          <c:tx>
            <c:strRef>
              <c:f>Interpolation!$S$20</c:f>
              <c:strCache>
                <c:ptCount val="1"/>
                <c:pt idx="0">
                  <c:v>31.7</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Interpolation!$T$20:$CV$20</c:f>
              <c:numCache>
                <c:formatCode>General</c:formatCode>
                <c:ptCount val="81"/>
                <c:pt idx="0">
                  <c:v>9.8979286074587745E-3</c:v>
                </c:pt>
                <c:pt idx="1">
                  <c:v>9.7318617196324488E-3</c:v>
                </c:pt>
                <c:pt idx="2">
                  <c:v>9.5689047849691154E-3</c:v>
                </c:pt>
                <c:pt idx="3">
                  <c:v>9.4090578034687761E-3</c:v>
                </c:pt>
                <c:pt idx="4">
                  <c:v>9.2523207751314309E-3</c:v>
                </c:pt>
                <c:pt idx="5">
                  <c:v>9.098693699957066E-3</c:v>
                </c:pt>
                <c:pt idx="6">
                  <c:v>8.9481765779456952E-3</c:v>
                </c:pt>
                <c:pt idx="7">
                  <c:v>8.8007694090973046E-3</c:v>
                </c:pt>
                <c:pt idx="8">
                  <c:v>8.656472193411922E-3</c:v>
                </c:pt>
                <c:pt idx="9">
                  <c:v>8.5152849308895336E-3</c:v>
                </c:pt>
                <c:pt idx="10">
                  <c:v>8.3772076215301253E-3</c:v>
                </c:pt>
                <c:pt idx="11">
                  <c:v>8.2422402653337112E-3</c:v>
                </c:pt>
                <c:pt idx="12">
                  <c:v>8.1103828623002912E-3</c:v>
                </c:pt>
                <c:pt idx="13">
                  <c:v>7.9816354124298654E-3</c:v>
                </c:pt>
                <c:pt idx="14">
                  <c:v>7.8559979157224197E-3</c:v>
                </c:pt>
                <c:pt idx="15">
                  <c:v>7.7334703721779752E-3</c:v>
                </c:pt>
                <c:pt idx="16">
                  <c:v>7.6140527817965178E-3</c:v>
                </c:pt>
                <c:pt idx="17">
                  <c:v>7.4977451445780476E-3</c:v>
                </c:pt>
                <c:pt idx="18">
                  <c:v>7.3845474605225793E-3</c:v>
                </c:pt>
                <c:pt idx="19">
                  <c:v>7.2744597296300973E-3</c:v>
                </c:pt>
                <c:pt idx="20">
                  <c:v>7.1674819519006025E-3</c:v>
                </c:pt>
                <c:pt idx="21">
                  <c:v>7.0636141273341087E-3</c:v>
                </c:pt>
                <c:pt idx="22">
                  <c:v>6.9628562559306021E-3</c:v>
                </c:pt>
                <c:pt idx="23">
                  <c:v>6.8652083376900827E-3</c:v>
                </c:pt>
                <c:pt idx="24">
                  <c:v>6.7706703726125575E-3</c:v>
                </c:pt>
                <c:pt idx="25">
                  <c:v>6.6792423606980202E-3</c:v>
                </c:pt>
                <c:pt idx="26">
                  <c:v>6.5909243019464832E-3</c:v>
                </c:pt>
                <c:pt idx="27">
                  <c:v>6.5057161963579333E-3</c:v>
                </c:pt>
                <c:pt idx="28">
                  <c:v>6.4236180439323706E-3</c:v>
                </c:pt>
                <c:pt idx="29">
                  <c:v>6.3446298446698021E-3</c:v>
                </c:pt>
                <c:pt idx="30">
                  <c:v>6.2687515985702276E-3</c:v>
                </c:pt>
                <c:pt idx="31">
                  <c:v>6.1959833056336403E-3</c:v>
                </c:pt>
                <c:pt idx="32">
                  <c:v>6.1263249658600472E-3</c:v>
                </c:pt>
                <c:pt idx="33">
                  <c:v>6.0597765792494412E-3</c:v>
                </c:pt>
                <c:pt idx="34">
                  <c:v>5.9963381458018293E-3</c:v>
                </c:pt>
                <c:pt idx="35">
                  <c:v>5.9360096655172116E-3</c:v>
                </c:pt>
                <c:pt idx="36">
                  <c:v>5.878791138395581E-3</c:v>
                </c:pt>
                <c:pt idx="37">
                  <c:v>5.8246825644369445E-3</c:v>
                </c:pt>
                <c:pt idx="38">
                  <c:v>5.7736839436413031E-3</c:v>
                </c:pt>
                <c:pt idx="39">
                  <c:v>5.7257952760086479E-3</c:v>
                </c:pt>
                <c:pt idx="40">
                  <c:v>5.6810165615389799E-3</c:v>
                </c:pt>
                <c:pt idx="41">
                  <c:v>5.6393478002323061E-3</c:v>
                </c:pt>
                <c:pt idx="42">
                  <c:v>5.6007889920886263E-3</c:v>
                </c:pt>
                <c:pt idx="43">
                  <c:v>5.5653401371079407E-3</c:v>
                </c:pt>
                <c:pt idx="44">
                  <c:v>5.5330012352902422E-3</c:v>
                </c:pt>
                <c:pt idx="45">
                  <c:v>5.5037722866355379E-3</c:v>
                </c:pt>
                <c:pt idx="46">
                  <c:v>5.4776532911438207E-3</c:v>
                </c:pt>
                <c:pt idx="47">
                  <c:v>5.4546442488150985E-3</c:v>
                </c:pt>
                <c:pt idx="48">
                  <c:v>5.4347451596493696E-3</c:v>
                </c:pt>
                <c:pt idx="49">
                  <c:v>5.4179560236466279E-3</c:v>
                </c:pt>
                <c:pt idx="50">
                  <c:v>5.4042768408068733E-3</c:v>
                </c:pt>
                <c:pt idx="51">
                  <c:v>5.3937076111301198E-3</c:v>
                </c:pt>
                <c:pt idx="52">
                  <c:v>5.3862483346163535E-3</c:v>
                </c:pt>
                <c:pt idx="53">
                  <c:v>5.3818990112655743E-3</c:v>
                </c:pt>
                <c:pt idx="54">
                  <c:v>5.3806596410777893E-3</c:v>
                </c:pt>
                <c:pt idx="55">
                  <c:v>5.3825302240530053E-3</c:v>
                </c:pt>
                <c:pt idx="56">
                  <c:v>5.3875107601912015E-3</c:v>
                </c:pt>
                <c:pt idx="57">
                  <c:v>5.3956012494923919E-3</c:v>
                </c:pt>
                <c:pt idx="58">
                  <c:v>5.4068016919565694E-3</c:v>
                </c:pt>
                <c:pt idx="59">
                  <c:v>5.4211120875837489E-3</c:v>
                </c:pt>
                <c:pt idx="60">
                  <c:v>5.4385324363739078E-3</c:v>
                </c:pt>
                <c:pt idx="61">
                  <c:v>5.4590627383270677E-3</c:v>
                </c:pt>
                <c:pt idx="62">
                  <c:v>5.4827029934432078E-3</c:v>
                </c:pt>
                <c:pt idx="63">
                  <c:v>5.5094532017223568E-3</c:v>
                </c:pt>
                <c:pt idx="64">
                  <c:v>5.5393133631644852E-3</c:v>
                </c:pt>
                <c:pt idx="65">
                  <c:v>5.5722834777695998E-3</c:v>
                </c:pt>
                <c:pt idx="66">
                  <c:v>5.6083635455377165E-3</c:v>
                </c:pt>
                <c:pt idx="67">
                  <c:v>5.6475535664688211E-3</c:v>
                </c:pt>
                <c:pt idx="68">
                  <c:v>5.689853540562919E-3</c:v>
                </c:pt>
                <c:pt idx="69">
                  <c:v>5.7352634678200041E-3</c:v>
                </c:pt>
                <c:pt idx="70">
                  <c:v>5.7837833482400833E-3</c:v>
                </c:pt>
                <c:pt idx="71">
                  <c:v>5.8354131818231497E-3</c:v>
                </c:pt>
                <c:pt idx="72">
                  <c:v>5.8901529685692101E-3</c:v>
                </c:pt>
                <c:pt idx="73">
                  <c:v>5.9480027084782647E-3</c:v>
                </c:pt>
                <c:pt idx="74">
                  <c:v>6.0089624015502996E-3</c:v>
                </c:pt>
                <c:pt idx="75">
                  <c:v>6.0730320477853424E-3</c:v>
                </c:pt>
                <c:pt idx="76">
                  <c:v>6.1402116471833655E-3</c:v>
                </c:pt>
                <c:pt idx="77">
                  <c:v>6.2105011997443827E-3</c:v>
                </c:pt>
                <c:pt idx="78">
                  <c:v>6.283900705468394E-3</c:v>
                </c:pt>
                <c:pt idx="79">
                  <c:v>6.3604101643553995E-3</c:v>
                </c:pt>
                <c:pt idx="80">
                  <c:v>6.4400295764053851E-3</c:v>
                </c:pt>
              </c:numCache>
            </c:numRef>
          </c:val>
          <c:extLst>
            <c:ext xmlns:c16="http://schemas.microsoft.com/office/drawing/2014/chart" uri="{C3380CC4-5D6E-409C-BE32-E72D297353CC}">
              <c16:uniqueId val="{00000089-B0BD-44B6-BED5-7CDF3E877C37}"/>
            </c:ext>
          </c:extLst>
        </c:ser>
        <c:ser>
          <c:idx val="18"/>
          <c:order val="18"/>
          <c:tx>
            <c:strRef>
              <c:f>Interpolation!$S$21</c:f>
              <c:strCache>
                <c:ptCount val="1"/>
                <c:pt idx="0">
                  <c:v>31.8</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Interpolation!$T$21:$CV$21</c:f>
              <c:numCache>
                <c:formatCode>General</c:formatCode>
                <c:ptCount val="81"/>
                <c:pt idx="0">
                  <c:v>9.8699636051742881E-3</c:v>
                </c:pt>
                <c:pt idx="1">
                  <c:v>9.7038014867652268E-3</c:v>
                </c:pt>
                <c:pt idx="2">
                  <c:v>9.5407493215191597E-3</c:v>
                </c:pt>
                <c:pt idx="3">
                  <c:v>9.3808071094360884E-3</c:v>
                </c:pt>
                <c:pt idx="4">
                  <c:v>9.2239748505160094E-3</c:v>
                </c:pt>
                <c:pt idx="5">
                  <c:v>9.0702525447589107E-3</c:v>
                </c:pt>
                <c:pt idx="6">
                  <c:v>8.9196401921648079E-3</c:v>
                </c:pt>
                <c:pt idx="7">
                  <c:v>8.7721377927336835E-3</c:v>
                </c:pt>
                <c:pt idx="8">
                  <c:v>8.6277453464655689E-3</c:v>
                </c:pt>
                <c:pt idx="9">
                  <c:v>8.4864628533604467E-3</c:v>
                </c:pt>
                <c:pt idx="10">
                  <c:v>8.3482903134183047E-3</c:v>
                </c:pt>
                <c:pt idx="11">
                  <c:v>8.2132277266391586E-3</c:v>
                </c:pt>
                <c:pt idx="12">
                  <c:v>8.0812750930230048E-3</c:v>
                </c:pt>
                <c:pt idx="13">
                  <c:v>7.9524324125698452E-3</c:v>
                </c:pt>
                <c:pt idx="14">
                  <c:v>7.8266996852796675E-3</c:v>
                </c:pt>
                <c:pt idx="15">
                  <c:v>7.7040769111524892E-3</c:v>
                </c:pt>
                <c:pt idx="16">
                  <c:v>7.5845640901882989E-3</c:v>
                </c:pt>
                <c:pt idx="17">
                  <c:v>7.4681612223870958E-3</c:v>
                </c:pt>
                <c:pt idx="18">
                  <c:v>7.3548683077488929E-3</c:v>
                </c:pt>
                <c:pt idx="19">
                  <c:v>7.244685346273678E-3</c:v>
                </c:pt>
                <c:pt idx="20">
                  <c:v>7.1376123379614503E-3</c:v>
                </c:pt>
                <c:pt idx="21">
                  <c:v>7.0336492828122236E-3</c:v>
                </c:pt>
                <c:pt idx="22">
                  <c:v>6.9327961808259833E-3</c:v>
                </c:pt>
                <c:pt idx="23">
                  <c:v>6.835053032002731E-3</c:v>
                </c:pt>
                <c:pt idx="24">
                  <c:v>6.7404198363424719E-3</c:v>
                </c:pt>
                <c:pt idx="25">
                  <c:v>6.6488965938452018E-3</c:v>
                </c:pt>
                <c:pt idx="26">
                  <c:v>6.560483304510931E-3</c:v>
                </c:pt>
                <c:pt idx="27">
                  <c:v>6.4751799683396482E-3</c:v>
                </c:pt>
                <c:pt idx="28">
                  <c:v>6.3929865853313526E-3</c:v>
                </c:pt>
                <c:pt idx="29">
                  <c:v>6.3139031554860503E-3</c:v>
                </c:pt>
                <c:pt idx="30">
                  <c:v>6.2379296788037429E-3</c:v>
                </c:pt>
                <c:pt idx="31">
                  <c:v>6.1650661552844228E-3</c:v>
                </c:pt>
                <c:pt idx="32">
                  <c:v>6.0953125849280967E-3</c:v>
                </c:pt>
                <c:pt idx="33">
                  <c:v>6.028668967734757E-3</c:v>
                </c:pt>
                <c:pt idx="34">
                  <c:v>5.9651353037044122E-3</c:v>
                </c:pt>
                <c:pt idx="35">
                  <c:v>5.9047115928370615E-3</c:v>
                </c:pt>
                <c:pt idx="36">
                  <c:v>5.8473978351326981E-3</c:v>
                </c:pt>
                <c:pt idx="37">
                  <c:v>5.7931940305913279E-3</c:v>
                </c:pt>
                <c:pt idx="38">
                  <c:v>5.7421001792129526E-3</c:v>
                </c:pt>
                <c:pt idx="39">
                  <c:v>5.6941162809975646E-3</c:v>
                </c:pt>
                <c:pt idx="40">
                  <c:v>5.6492423359451628E-3</c:v>
                </c:pt>
                <c:pt idx="41">
                  <c:v>5.607478344055756E-3</c:v>
                </c:pt>
                <c:pt idx="42">
                  <c:v>5.5688243053293434E-3</c:v>
                </c:pt>
                <c:pt idx="43">
                  <c:v>5.533280219765924E-3</c:v>
                </c:pt>
                <c:pt idx="44">
                  <c:v>5.5008460873654927E-3</c:v>
                </c:pt>
                <c:pt idx="45">
                  <c:v>5.4715219081280554E-3</c:v>
                </c:pt>
                <c:pt idx="46">
                  <c:v>5.4453076820536045E-3</c:v>
                </c:pt>
                <c:pt idx="47">
                  <c:v>5.4222034091421494E-3</c:v>
                </c:pt>
                <c:pt idx="48">
                  <c:v>5.4022090893936867E-3</c:v>
                </c:pt>
                <c:pt idx="49">
                  <c:v>5.3853247228082121E-3</c:v>
                </c:pt>
                <c:pt idx="50">
                  <c:v>5.3715503093857246E-3</c:v>
                </c:pt>
                <c:pt idx="51">
                  <c:v>5.3608858491262373E-3</c:v>
                </c:pt>
                <c:pt idx="52">
                  <c:v>5.3533313420297381E-3</c:v>
                </c:pt>
                <c:pt idx="53">
                  <c:v>5.348886788096226E-3</c:v>
                </c:pt>
                <c:pt idx="54">
                  <c:v>5.3475521873257072E-3</c:v>
                </c:pt>
                <c:pt idx="55">
                  <c:v>5.3493275397181912E-3</c:v>
                </c:pt>
                <c:pt idx="56">
                  <c:v>5.3542128452736537E-3</c:v>
                </c:pt>
                <c:pt idx="57">
                  <c:v>5.3622081039921103E-3</c:v>
                </c:pt>
                <c:pt idx="58">
                  <c:v>5.373313315873555E-3</c:v>
                </c:pt>
                <c:pt idx="59">
                  <c:v>5.3875284809180007E-3</c:v>
                </c:pt>
                <c:pt idx="60">
                  <c:v>5.4048535991254266E-3</c:v>
                </c:pt>
                <c:pt idx="61">
                  <c:v>5.4252886704958536E-3</c:v>
                </c:pt>
                <c:pt idx="62">
                  <c:v>5.44883369502926E-3</c:v>
                </c:pt>
                <c:pt idx="63">
                  <c:v>5.4754886727256761E-3</c:v>
                </c:pt>
                <c:pt idx="64">
                  <c:v>5.5052536035850707E-3</c:v>
                </c:pt>
                <c:pt idx="65">
                  <c:v>5.5381284876074525E-3</c:v>
                </c:pt>
                <c:pt idx="66">
                  <c:v>5.5741133247928362E-3</c:v>
                </c:pt>
                <c:pt idx="67">
                  <c:v>5.6132081151412071E-3</c:v>
                </c:pt>
                <c:pt idx="68">
                  <c:v>5.6554128586525712E-3</c:v>
                </c:pt>
                <c:pt idx="69">
                  <c:v>5.7007275553269234E-3</c:v>
                </c:pt>
                <c:pt idx="70">
                  <c:v>5.7491522051642697E-3</c:v>
                </c:pt>
                <c:pt idx="71">
                  <c:v>5.8006868081646023E-3</c:v>
                </c:pt>
                <c:pt idx="72">
                  <c:v>5.8553313643279307E-3</c:v>
                </c:pt>
                <c:pt idx="73">
                  <c:v>5.9130858736542516E-3</c:v>
                </c:pt>
                <c:pt idx="74">
                  <c:v>5.9739503361435544E-3</c:v>
                </c:pt>
                <c:pt idx="75">
                  <c:v>6.0379247517958635E-3</c:v>
                </c:pt>
                <c:pt idx="76">
                  <c:v>6.1050091206111528E-3</c:v>
                </c:pt>
                <c:pt idx="77">
                  <c:v>6.1752034425894371E-3</c:v>
                </c:pt>
                <c:pt idx="78">
                  <c:v>6.2485077177307155E-3</c:v>
                </c:pt>
                <c:pt idx="79">
                  <c:v>6.3249219460349872E-3</c:v>
                </c:pt>
                <c:pt idx="80">
                  <c:v>6.4044461275022408E-3</c:v>
                </c:pt>
              </c:numCache>
            </c:numRef>
          </c:val>
          <c:extLst>
            <c:ext xmlns:c16="http://schemas.microsoft.com/office/drawing/2014/chart" uri="{C3380CC4-5D6E-409C-BE32-E72D297353CC}">
              <c16:uniqueId val="{0000008A-B0BD-44B6-BED5-7CDF3E877C37}"/>
            </c:ext>
          </c:extLst>
        </c:ser>
        <c:ser>
          <c:idx val="19"/>
          <c:order val="19"/>
          <c:tx>
            <c:strRef>
              <c:f>Interpolation!$S$22</c:f>
              <c:strCache>
                <c:ptCount val="1"/>
                <c:pt idx="0">
                  <c:v>31.9</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Interpolation!$T$22:$CV$22</c:f>
              <c:numCache>
                <c:formatCode>General</c:formatCode>
                <c:ptCount val="81"/>
                <c:pt idx="0">
                  <c:v>9.8428990566166181E-3</c:v>
                </c:pt>
                <c:pt idx="1">
                  <c:v>9.676641707624823E-3</c:v>
                </c:pt>
                <c:pt idx="2">
                  <c:v>9.5134943117960238E-3</c:v>
                </c:pt>
                <c:pt idx="3">
                  <c:v>9.3534568691302188E-3</c:v>
                </c:pt>
                <c:pt idx="4">
                  <c:v>9.1965293796274078E-3</c:v>
                </c:pt>
                <c:pt idx="5">
                  <c:v>9.0427118432875753E-3</c:v>
                </c:pt>
                <c:pt idx="6">
                  <c:v>8.8920042601107387E-3</c:v>
                </c:pt>
                <c:pt idx="7">
                  <c:v>8.7444066300968806E-3</c:v>
                </c:pt>
                <c:pt idx="8">
                  <c:v>8.5999189532460323E-3</c:v>
                </c:pt>
                <c:pt idx="9">
                  <c:v>8.458541229558178E-3</c:v>
                </c:pt>
                <c:pt idx="10">
                  <c:v>8.320273459033304E-3</c:v>
                </c:pt>
                <c:pt idx="11">
                  <c:v>8.1851156416714223E-3</c:v>
                </c:pt>
                <c:pt idx="12">
                  <c:v>8.0530677774725366E-3</c:v>
                </c:pt>
                <c:pt idx="13">
                  <c:v>7.9241298664366449E-3</c:v>
                </c:pt>
                <c:pt idx="14">
                  <c:v>7.7983019085637326E-3</c:v>
                </c:pt>
                <c:pt idx="15">
                  <c:v>7.6755839038538214E-3</c:v>
                </c:pt>
                <c:pt idx="16">
                  <c:v>7.5559758523068973E-3</c:v>
                </c:pt>
                <c:pt idx="17">
                  <c:v>7.4394777539229613E-3</c:v>
                </c:pt>
                <c:pt idx="18">
                  <c:v>7.3260896087020255E-3</c:v>
                </c:pt>
                <c:pt idx="19">
                  <c:v>7.2158114166440777E-3</c:v>
                </c:pt>
                <c:pt idx="20">
                  <c:v>7.1086431777491162E-3</c:v>
                </c:pt>
                <c:pt idx="21">
                  <c:v>7.0045848920171558E-3</c:v>
                </c:pt>
                <c:pt idx="22">
                  <c:v>6.9036365594481834E-3</c:v>
                </c:pt>
                <c:pt idx="23">
                  <c:v>6.8057981800421974E-3</c:v>
                </c:pt>
                <c:pt idx="24">
                  <c:v>6.7110697537992054E-3</c:v>
                </c:pt>
                <c:pt idx="25">
                  <c:v>6.6194512807192015E-3</c:v>
                </c:pt>
                <c:pt idx="26">
                  <c:v>6.5309427608021978E-3</c:v>
                </c:pt>
                <c:pt idx="27">
                  <c:v>6.4455441940481813E-3</c:v>
                </c:pt>
                <c:pt idx="28">
                  <c:v>6.3632555804571528E-3</c:v>
                </c:pt>
                <c:pt idx="29">
                  <c:v>6.2840769200291175E-3</c:v>
                </c:pt>
                <c:pt idx="30">
                  <c:v>6.2080082127640764E-3</c:v>
                </c:pt>
                <c:pt idx="31">
                  <c:v>6.1350494586620234E-3</c:v>
                </c:pt>
                <c:pt idx="32">
                  <c:v>6.0652006577229635E-3</c:v>
                </c:pt>
                <c:pt idx="33">
                  <c:v>5.9984618099468909E-3</c:v>
                </c:pt>
                <c:pt idx="34">
                  <c:v>5.9348329153338132E-3</c:v>
                </c:pt>
                <c:pt idx="35">
                  <c:v>5.8743139738837288E-3</c:v>
                </c:pt>
                <c:pt idx="36">
                  <c:v>5.8169049855966316E-3</c:v>
                </c:pt>
                <c:pt idx="37">
                  <c:v>5.7626059504725293E-3</c:v>
                </c:pt>
                <c:pt idx="38">
                  <c:v>5.7114168685114203E-3</c:v>
                </c:pt>
                <c:pt idx="39">
                  <c:v>5.6633377397132994E-3</c:v>
                </c:pt>
                <c:pt idx="40">
                  <c:v>5.6183685640781647E-3</c:v>
                </c:pt>
                <c:pt idx="41">
                  <c:v>5.576509341606025E-3</c:v>
                </c:pt>
                <c:pt idx="42">
                  <c:v>5.5377600722968786E-3</c:v>
                </c:pt>
                <c:pt idx="43">
                  <c:v>5.5021207561507263E-3</c:v>
                </c:pt>
                <c:pt idx="44">
                  <c:v>5.4695913931675612E-3</c:v>
                </c:pt>
                <c:pt idx="45">
                  <c:v>5.4401719833473902E-3</c:v>
                </c:pt>
                <c:pt idx="46">
                  <c:v>5.4138625266902073E-3</c:v>
                </c:pt>
                <c:pt idx="47">
                  <c:v>5.3906630231960184E-3</c:v>
                </c:pt>
                <c:pt idx="48">
                  <c:v>5.3705734728648228E-3</c:v>
                </c:pt>
                <c:pt idx="49">
                  <c:v>5.3535938756966144E-3</c:v>
                </c:pt>
                <c:pt idx="50">
                  <c:v>5.3397242316913941E-3</c:v>
                </c:pt>
                <c:pt idx="51">
                  <c:v>5.3289645408491739E-3</c:v>
                </c:pt>
                <c:pt idx="52">
                  <c:v>5.3213148031699409E-3</c:v>
                </c:pt>
                <c:pt idx="53">
                  <c:v>5.3167750186536959E-3</c:v>
                </c:pt>
                <c:pt idx="54">
                  <c:v>5.3153451873004442E-3</c:v>
                </c:pt>
                <c:pt idx="55">
                  <c:v>5.3170253091101936E-3</c:v>
                </c:pt>
                <c:pt idx="56">
                  <c:v>5.321815384082924E-3</c:v>
                </c:pt>
                <c:pt idx="57">
                  <c:v>5.3297154122186477E-3</c:v>
                </c:pt>
                <c:pt idx="58">
                  <c:v>5.3407253935173586E-3</c:v>
                </c:pt>
                <c:pt idx="59">
                  <c:v>5.3548453279790714E-3</c:v>
                </c:pt>
                <c:pt idx="60">
                  <c:v>5.3720752156037645E-3</c:v>
                </c:pt>
                <c:pt idx="61">
                  <c:v>5.3924150563914577E-3</c:v>
                </c:pt>
                <c:pt idx="62">
                  <c:v>5.4158648503421312E-3</c:v>
                </c:pt>
                <c:pt idx="63">
                  <c:v>5.4424245974558135E-3</c:v>
                </c:pt>
                <c:pt idx="64">
                  <c:v>5.4720942977324752E-3</c:v>
                </c:pt>
                <c:pt idx="65">
                  <c:v>5.5048739511721241E-3</c:v>
                </c:pt>
                <c:pt idx="66">
                  <c:v>5.540763557774774E-3</c:v>
                </c:pt>
                <c:pt idx="67">
                  <c:v>5.5797631175404112E-3</c:v>
                </c:pt>
                <c:pt idx="68">
                  <c:v>5.6218726304690433E-3</c:v>
                </c:pt>
                <c:pt idx="69">
                  <c:v>5.6670920965606626E-3</c:v>
                </c:pt>
                <c:pt idx="70">
                  <c:v>5.7154215158152742E-3</c:v>
                </c:pt>
                <c:pt idx="71">
                  <c:v>5.7668608882328748E-3</c:v>
                </c:pt>
                <c:pt idx="72">
                  <c:v>5.8214102138134695E-3</c:v>
                </c:pt>
                <c:pt idx="73">
                  <c:v>5.8790694925570574E-3</c:v>
                </c:pt>
                <c:pt idx="74">
                  <c:v>5.9398387244636256E-3</c:v>
                </c:pt>
                <c:pt idx="75">
                  <c:v>6.0037179095332027E-3</c:v>
                </c:pt>
                <c:pt idx="76">
                  <c:v>6.0707070477657591E-3</c:v>
                </c:pt>
                <c:pt idx="77">
                  <c:v>6.1408061391613096E-3</c:v>
                </c:pt>
                <c:pt idx="78">
                  <c:v>6.2140151837198551E-3</c:v>
                </c:pt>
                <c:pt idx="79">
                  <c:v>6.2903341814413939E-3</c:v>
                </c:pt>
                <c:pt idx="80">
                  <c:v>6.3697631323259129E-3</c:v>
                </c:pt>
              </c:numCache>
            </c:numRef>
          </c:val>
          <c:extLst>
            <c:ext xmlns:c16="http://schemas.microsoft.com/office/drawing/2014/chart" uri="{C3380CC4-5D6E-409C-BE32-E72D297353CC}">
              <c16:uniqueId val="{0000008B-B0BD-44B6-BED5-7CDF3E877C37}"/>
            </c:ext>
          </c:extLst>
        </c:ser>
        <c:ser>
          <c:idx val="20"/>
          <c:order val="20"/>
          <c:tx>
            <c:strRef>
              <c:f>Interpolation!$S$23</c:f>
              <c:strCache>
                <c:ptCount val="1"/>
                <c:pt idx="0">
                  <c:v>32</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Interpolation!$T$23:$CV$23</c:f>
              <c:numCache>
                <c:formatCode>General</c:formatCode>
                <c:ptCount val="81"/>
                <c:pt idx="0">
                  <c:v>9.8167349617857662E-3</c:v>
                </c:pt>
                <c:pt idx="1">
                  <c:v>9.6503823822112391E-3</c:v>
                </c:pt>
                <c:pt idx="2">
                  <c:v>9.4871397557997061E-3</c:v>
                </c:pt>
                <c:pt idx="3">
                  <c:v>9.3270070825511673E-3</c:v>
                </c:pt>
                <c:pt idx="4">
                  <c:v>9.1699843624656226E-3</c:v>
                </c:pt>
                <c:pt idx="5">
                  <c:v>9.0160715955430581E-3</c:v>
                </c:pt>
                <c:pt idx="6">
                  <c:v>8.8652687817834877E-3</c:v>
                </c:pt>
                <c:pt idx="7">
                  <c:v>8.7175759211868976E-3</c:v>
                </c:pt>
                <c:pt idx="8">
                  <c:v>8.5729930137533154E-3</c:v>
                </c:pt>
                <c:pt idx="9">
                  <c:v>8.4315200594827274E-3</c:v>
                </c:pt>
                <c:pt idx="10">
                  <c:v>8.2931570583751196E-3</c:v>
                </c:pt>
                <c:pt idx="11">
                  <c:v>8.157904010430506E-3</c:v>
                </c:pt>
                <c:pt idx="12">
                  <c:v>8.0257609156488864E-3</c:v>
                </c:pt>
                <c:pt idx="13">
                  <c:v>7.896727774030261E-3</c:v>
                </c:pt>
                <c:pt idx="14">
                  <c:v>7.7708045855746158E-3</c:v>
                </c:pt>
                <c:pt idx="15">
                  <c:v>7.6479913502819716E-3</c:v>
                </c:pt>
                <c:pt idx="16">
                  <c:v>7.5282880681523147E-3</c:v>
                </c:pt>
                <c:pt idx="17">
                  <c:v>7.4116947391856449E-3</c:v>
                </c:pt>
                <c:pt idx="18">
                  <c:v>7.2982113633819762E-3</c:v>
                </c:pt>
                <c:pt idx="19">
                  <c:v>7.1878379407412946E-3</c:v>
                </c:pt>
                <c:pt idx="20">
                  <c:v>7.0805744712636003E-3</c:v>
                </c:pt>
                <c:pt idx="21">
                  <c:v>6.9764209549489069E-3</c:v>
                </c:pt>
                <c:pt idx="22">
                  <c:v>6.8753773917972008E-3</c:v>
                </c:pt>
                <c:pt idx="23">
                  <c:v>6.7774437818084819E-3</c:v>
                </c:pt>
                <c:pt idx="24">
                  <c:v>6.682620124982757E-3</c:v>
                </c:pt>
                <c:pt idx="25">
                  <c:v>6.5909064213200193E-3</c:v>
                </c:pt>
                <c:pt idx="26">
                  <c:v>6.5023026708202827E-3</c:v>
                </c:pt>
                <c:pt idx="27">
                  <c:v>6.4168088734835333E-3</c:v>
                </c:pt>
                <c:pt idx="28">
                  <c:v>6.3344250293097711E-3</c:v>
                </c:pt>
                <c:pt idx="29">
                  <c:v>6.2551511382990029E-3</c:v>
                </c:pt>
                <c:pt idx="30">
                  <c:v>6.1789872004512289E-3</c:v>
                </c:pt>
                <c:pt idx="31">
                  <c:v>6.1059332157664421E-3</c:v>
                </c:pt>
                <c:pt idx="32">
                  <c:v>6.0359891842446493E-3</c:v>
                </c:pt>
                <c:pt idx="33">
                  <c:v>5.9691551058858438E-3</c:v>
                </c:pt>
                <c:pt idx="34">
                  <c:v>5.9054309806900324E-3</c:v>
                </c:pt>
                <c:pt idx="35">
                  <c:v>5.844816808657215E-3</c:v>
                </c:pt>
                <c:pt idx="36">
                  <c:v>5.7873125897873849E-3</c:v>
                </c:pt>
                <c:pt idx="37">
                  <c:v>5.7329183240805489E-3</c:v>
                </c:pt>
                <c:pt idx="38">
                  <c:v>5.681634011536707E-3</c:v>
                </c:pt>
                <c:pt idx="39">
                  <c:v>5.6334596521558523E-3</c:v>
                </c:pt>
                <c:pt idx="40">
                  <c:v>5.5883952459379847E-3</c:v>
                </c:pt>
                <c:pt idx="41">
                  <c:v>5.5464407928831113E-3</c:v>
                </c:pt>
                <c:pt idx="42">
                  <c:v>5.507596292991232E-3</c:v>
                </c:pt>
                <c:pt idx="43">
                  <c:v>5.4718617462623468E-3</c:v>
                </c:pt>
                <c:pt idx="44">
                  <c:v>5.4392371526964479E-3</c:v>
                </c:pt>
                <c:pt idx="45">
                  <c:v>5.409722512293544E-3</c:v>
                </c:pt>
                <c:pt idx="46">
                  <c:v>5.3833178250536273E-3</c:v>
                </c:pt>
                <c:pt idx="47">
                  <c:v>5.3600230909767056E-3</c:v>
                </c:pt>
                <c:pt idx="48">
                  <c:v>5.3398383100627771E-3</c:v>
                </c:pt>
                <c:pt idx="49">
                  <c:v>5.3227634823118358E-3</c:v>
                </c:pt>
                <c:pt idx="50">
                  <c:v>5.3087986077238816E-3</c:v>
                </c:pt>
                <c:pt idx="51">
                  <c:v>5.2979436862989285E-3</c:v>
                </c:pt>
                <c:pt idx="52">
                  <c:v>5.2901987180369626E-3</c:v>
                </c:pt>
                <c:pt idx="53">
                  <c:v>5.2855637029379831E-3</c:v>
                </c:pt>
                <c:pt idx="54">
                  <c:v>5.2840386410019985E-3</c:v>
                </c:pt>
                <c:pt idx="55">
                  <c:v>5.2856235322290158E-3</c:v>
                </c:pt>
                <c:pt idx="56">
                  <c:v>5.2903183766190116E-3</c:v>
                </c:pt>
                <c:pt idx="57">
                  <c:v>5.2981231741720024E-3</c:v>
                </c:pt>
                <c:pt idx="58">
                  <c:v>5.3090379248879804E-3</c:v>
                </c:pt>
                <c:pt idx="59">
                  <c:v>5.3230626287669603E-3</c:v>
                </c:pt>
                <c:pt idx="60">
                  <c:v>5.3401972858089196E-3</c:v>
                </c:pt>
                <c:pt idx="61">
                  <c:v>5.3604418960138799E-3</c:v>
                </c:pt>
                <c:pt idx="62">
                  <c:v>5.3837964593818205E-3</c:v>
                </c:pt>
                <c:pt idx="63">
                  <c:v>5.4102609759127691E-3</c:v>
                </c:pt>
                <c:pt idx="64">
                  <c:v>5.4398354456066979E-3</c:v>
                </c:pt>
                <c:pt idx="65">
                  <c:v>5.472519868463613E-3</c:v>
                </c:pt>
                <c:pt idx="66">
                  <c:v>5.50831424448353E-3</c:v>
                </c:pt>
                <c:pt idx="67">
                  <c:v>5.5472185736664343E-3</c:v>
                </c:pt>
                <c:pt idx="68">
                  <c:v>5.5892328560123326E-3</c:v>
                </c:pt>
                <c:pt idx="69">
                  <c:v>5.6343570915212181E-3</c:v>
                </c:pt>
                <c:pt idx="70">
                  <c:v>5.6825912801930977E-3</c:v>
                </c:pt>
                <c:pt idx="71">
                  <c:v>5.7339354220279646E-3</c:v>
                </c:pt>
                <c:pt idx="72">
                  <c:v>5.7883895170258264E-3</c:v>
                </c:pt>
                <c:pt idx="73">
                  <c:v>5.8459535651866814E-3</c:v>
                </c:pt>
                <c:pt idx="74">
                  <c:v>5.9066275665105167E-3</c:v>
                </c:pt>
                <c:pt idx="75">
                  <c:v>5.9704115209973591E-3</c:v>
                </c:pt>
                <c:pt idx="76">
                  <c:v>6.0373054286471826E-3</c:v>
                </c:pt>
                <c:pt idx="77">
                  <c:v>6.1073092894600002E-3</c:v>
                </c:pt>
                <c:pt idx="78">
                  <c:v>6.180423103435812E-3</c:v>
                </c:pt>
                <c:pt idx="79">
                  <c:v>6.2566468705746179E-3</c:v>
                </c:pt>
                <c:pt idx="80">
                  <c:v>6.335980590876404E-3</c:v>
                </c:pt>
              </c:numCache>
            </c:numRef>
          </c:val>
          <c:extLst>
            <c:ext xmlns:c16="http://schemas.microsoft.com/office/drawing/2014/chart" uri="{C3380CC4-5D6E-409C-BE32-E72D297353CC}">
              <c16:uniqueId val="{0000008C-B0BD-44B6-BED5-7CDF3E877C37}"/>
            </c:ext>
          </c:extLst>
        </c:ser>
        <c:ser>
          <c:idx val="21"/>
          <c:order val="21"/>
          <c:tx>
            <c:strRef>
              <c:f>Interpolation!$S$24</c:f>
              <c:strCache>
                <c:ptCount val="1"/>
                <c:pt idx="0">
                  <c:v>32.1</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Interpolation!$T$24:$CV$24</c:f>
              <c:numCache>
                <c:formatCode>General</c:formatCode>
                <c:ptCount val="81"/>
                <c:pt idx="0">
                  <c:v>9.7914713206817324E-3</c:v>
                </c:pt>
                <c:pt idx="1">
                  <c:v>9.6250235105244716E-3</c:v>
                </c:pt>
                <c:pt idx="2">
                  <c:v>9.4616856535302066E-3</c:v>
                </c:pt>
                <c:pt idx="3">
                  <c:v>9.301457749698934E-3</c:v>
                </c:pt>
                <c:pt idx="4">
                  <c:v>9.1443397990306555E-3</c:v>
                </c:pt>
                <c:pt idx="5">
                  <c:v>8.9903318015253589E-3</c:v>
                </c:pt>
                <c:pt idx="6">
                  <c:v>8.8394337571830548E-3</c:v>
                </c:pt>
                <c:pt idx="7">
                  <c:v>8.6916456660037309E-3</c:v>
                </c:pt>
                <c:pt idx="8">
                  <c:v>8.5469675279874167E-3</c:v>
                </c:pt>
                <c:pt idx="9">
                  <c:v>8.405399343134095E-3</c:v>
                </c:pt>
                <c:pt idx="10">
                  <c:v>8.2669411114437534E-3</c:v>
                </c:pt>
                <c:pt idx="11">
                  <c:v>8.1315928329164077E-3</c:v>
                </c:pt>
                <c:pt idx="12">
                  <c:v>7.9993545075520544E-3</c:v>
                </c:pt>
                <c:pt idx="13">
                  <c:v>7.8702261353506952E-3</c:v>
                </c:pt>
                <c:pt idx="14">
                  <c:v>7.7442077163123171E-3</c:v>
                </c:pt>
                <c:pt idx="15">
                  <c:v>7.6212992504369401E-3</c:v>
                </c:pt>
                <c:pt idx="16">
                  <c:v>7.5015007377245493E-3</c:v>
                </c:pt>
                <c:pt idx="17">
                  <c:v>7.3848121781751467E-3</c:v>
                </c:pt>
                <c:pt idx="18">
                  <c:v>7.2712335717887442E-3</c:v>
                </c:pt>
                <c:pt idx="19">
                  <c:v>7.1607649185653297E-3</c:v>
                </c:pt>
                <c:pt idx="20">
                  <c:v>7.0534062185049025E-3</c:v>
                </c:pt>
                <c:pt idx="21">
                  <c:v>6.9491574716074754E-3</c:v>
                </c:pt>
                <c:pt idx="22">
                  <c:v>6.8480186778730363E-3</c:v>
                </c:pt>
                <c:pt idx="23">
                  <c:v>6.7499898373015836E-3</c:v>
                </c:pt>
                <c:pt idx="24">
                  <c:v>6.6550709498931259E-3</c:v>
                </c:pt>
                <c:pt idx="25">
                  <c:v>6.5632620156476553E-3</c:v>
                </c:pt>
                <c:pt idx="26">
                  <c:v>6.4745630345651849E-3</c:v>
                </c:pt>
                <c:pt idx="27">
                  <c:v>6.3889740066457026E-3</c:v>
                </c:pt>
                <c:pt idx="28">
                  <c:v>6.3064949318892075E-3</c:v>
                </c:pt>
                <c:pt idx="29">
                  <c:v>6.2271258102957056E-3</c:v>
                </c:pt>
                <c:pt idx="30">
                  <c:v>6.1508666418651986E-3</c:v>
                </c:pt>
                <c:pt idx="31">
                  <c:v>6.0777174265976789E-3</c:v>
                </c:pt>
                <c:pt idx="32">
                  <c:v>6.0076781644931524E-3</c:v>
                </c:pt>
                <c:pt idx="33">
                  <c:v>5.9407488555516131E-3</c:v>
                </c:pt>
                <c:pt idx="34">
                  <c:v>5.8769294997730688E-3</c:v>
                </c:pt>
                <c:pt idx="35">
                  <c:v>5.8162200971575186E-3</c:v>
                </c:pt>
                <c:pt idx="36">
                  <c:v>5.7586206477049547E-3</c:v>
                </c:pt>
                <c:pt idx="37">
                  <c:v>5.7041311514153857E-3</c:v>
                </c:pt>
                <c:pt idx="38">
                  <c:v>5.6527516082888109E-3</c:v>
                </c:pt>
                <c:pt idx="39">
                  <c:v>5.6044820183252225E-3</c:v>
                </c:pt>
                <c:pt idx="40">
                  <c:v>5.559322381524622E-3</c:v>
                </c:pt>
                <c:pt idx="41">
                  <c:v>5.5172726978870157E-3</c:v>
                </c:pt>
                <c:pt idx="42">
                  <c:v>5.4783329674124026E-3</c:v>
                </c:pt>
                <c:pt idx="43">
                  <c:v>5.4425031901007845E-3</c:v>
                </c:pt>
                <c:pt idx="44">
                  <c:v>5.4097833659521527E-3</c:v>
                </c:pt>
                <c:pt idx="45">
                  <c:v>5.3801734949665159E-3</c:v>
                </c:pt>
                <c:pt idx="46">
                  <c:v>5.3536735771438655E-3</c:v>
                </c:pt>
                <c:pt idx="47">
                  <c:v>5.3302836124842108E-3</c:v>
                </c:pt>
                <c:pt idx="48">
                  <c:v>5.3100036009875486E-3</c:v>
                </c:pt>
                <c:pt idx="49">
                  <c:v>5.2928335426538744E-3</c:v>
                </c:pt>
                <c:pt idx="50">
                  <c:v>5.2787734374831865E-3</c:v>
                </c:pt>
                <c:pt idx="51">
                  <c:v>5.2678232854755005E-3</c:v>
                </c:pt>
                <c:pt idx="52">
                  <c:v>5.2599830866308008E-3</c:v>
                </c:pt>
                <c:pt idx="53">
                  <c:v>5.2552528409490892E-3</c:v>
                </c:pt>
                <c:pt idx="54">
                  <c:v>5.2536325484303717E-3</c:v>
                </c:pt>
                <c:pt idx="55">
                  <c:v>5.2551222090746544E-3</c:v>
                </c:pt>
                <c:pt idx="56">
                  <c:v>5.2597218228819173E-3</c:v>
                </c:pt>
                <c:pt idx="57">
                  <c:v>5.2674313898521752E-3</c:v>
                </c:pt>
                <c:pt idx="58">
                  <c:v>5.2782509099854203E-3</c:v>
                </c:pt>
                <c:pt idx="59">
                  <c:v>5.2921803832816664E-3</c:v>
                </c:pt>
                <c:pt idx="60">
                  <c:v>5.3092198097408928E-3</c:v>
                </c:pt>
                <c:pt idx="61">
                  <c:v>5.3293691893631194E-3</c:v>
                </c:pt>
                <c:pt idx="62">
                  <c:v>5.3526285221483271E-3</c:v>
                </c:pt>
                <c:pt idx="63">
                  <c:v>5.3789978080965428E-3</c:v>
                </c:pt>
                <c:pt idx="64">
                  <c:v>5.4084770472077378E-3</c:v>
                </c:pt>
                <c:pt idx="65">
                  <c:v>5.44106623948192E-3</c:v>
                </c:pt>
                <c:pt idx="66">
                  <c:v>5.4767653849191042E-3</c:v>
                </c:pt>
                <c:pt idx="67">
                  <c:v>5.5155744835192755E-3</c:v>
                </c:pt>
                <c:pt idx="68">
                  <c:v>5.5574935352824401E-3</c:v>
                </c:pt>
                <c:pt idx="69">
                  <c:v>5.6025225402085918E-3</c:v>
                </c:pt>
                <c:pt idx="70">
                  <c:v>5.6506614982977394E-3</c:v>
                </c:pt>
                <c:pt idx="71">
                  <c:v>5.7019104095498725E-3</c:v>
                </c:pt>
                <c:pt idx="72">
                  <c:v>5.7562692739650005E-3</c:v>
                </c:pt>
                <c:pt idx="73">
                  <c:v>5.8137380915431226E-3</c:v>
                </c:pt>
                <c:pt idx="74">
                  <c:v>5.8743168622842241E-3</c:v>
                </c:pt>
                <c:pt idx="75">
                  <c:v>5.9380055861883337E-3</c:v>
                </c:pt>
                <c:pt idx="76">
                  <c:v>6.0048042632554243E-3</c:v>
                </c:pt>
                <c:pt idx="77">
                  <c:v>6.074712893485509E-3</c:v>
                </c:pt>
                <c:pt idx="78">
                  <c:v>6.147731476878587E-3</c:v>
                </c:pt>
                <c:pt idx="79">
                  <c:v>6.22386001343466E-3</c:v>
                </c:pt>
                <c:pt idx="80">
                  <c:v>6.3030985031537132E-3</c:v>
                </c:pt>
              </c:numCache>
            </c:numRef>
          </c:val>
          <c:extLst>
            <c:ext xmlns:c16="http://schemas.microsoft.com/office/drawing/2014/chart" uri="{C3380CC4-5D6E-409C-BE32-E72D297353CC}">
              <c16:uniqueId val="{0000008D-B0BD-44B6-BED5-7CDF3E877C37}"/>
            </c:ext>
          </c:extLst>
        </c:ser>
        <c:ser>
          <c:idx val="22"/>
          <c:order val="22"/>
          <c:tx>
            <c:strRef>
              <c:f>Interpolation!$S$25</c:f>
              <c:strCache>
                <c:ptCount val="1"/>
                <c:pt idx="0">
                  <c:v>32.2</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Interpolation!$T$25:$CV$25</c:f>
              <c:numCache>
                <c:formatCode>General</c:formatCode>
                <c:ptCount val="81"/>
                <c:pt idx="0">
                  <c:v>9.7671081333045098E-3</c:v>
                </c:pt>
                <c:pt idx="1">
                  <c:v>9.600565092564517E-3</c:v>
                </c:pt>
                <c:pt idx="2">
                  <c:v>9.4371320049875182E-3</c:v>
                </c:pt>
                <c:pt idx="3">
                  <c:v>9.2768088705735118E-3</c:v>
                </c:pt>
                <c:pt idx="4">
                  <c:v>9.1195956893225013E-3</c:v>
                </c:pt>
                <c:pt idx="5">
                  <c:v>8.9654924612344693E-3</c:v>
                </c:pt>
                <c:pt idx="6">
                  <c:v>8.8144991863094331E-3</c:v>
                </c:pt>
                <c:pt idx="7">
                  <c:v>8.6666158645473772E-3</c:v>
                </c:pt>
                <c:pt idx="8">
                  <c:v>8.5218424959483275E-3</c:v>
                </c:pt>
                <c:pt idx="9">
                  <c:v>8.3801790805122737E-3</c:v>
                </c:pt>
                <c:pt idx="10">
                  <c:v>8.2416256182391984E-3</c:v>
                </c:pt>
                <c:pt idx="11">
                  <c:v>8.1061821091291189E-3</c:v>
                </c:pt>
                <c:pt idx="12">
                  <c:v>7.9738485531820336E-3</c:v>
                </c:pt>
                <c:pt idx="13">
                  <c:v>7.8446249503979406E-3</c:v>
                </c:pt>
                <c:pt idx="14">
                  <c:v>7.7185113007768296E-3</c:v>
                </c:pt>
                <c:pt idx="15">
                  <c:v>7.5955076043187188E-3</c:v>
                </c:pt>
                <c:pt idx="16">
                  <c:v>7.4756138610235952E-3</c:v>
                </c:pt>
                <c:pt idx="17">
                  <c:v>7.3588300708914596E-3</c:v>
                </c:pt>
                <c:pt idx="18">
                  <c:v>7.2451562339223242E-3</c:v>
                </c:pt>
                <c:pt idx="19">
                  <c:v>7.134592350116176E-3</c:v>
                </c:pt>
                <c:pt idx="20">
                  <c:v>7.0271384194730158E-3</c:v>
                </c:pt>
                <c:pt idx="21">
                  <c:v>6.9227944419928559E-3</c:v>
                </c:pt>
                <c:pt idx="22">
                  <c:v>6.8215604176756831E-3</c:v>
                </c:pt>
                <c:pt idx="23">
                  <c:v>6.7234363465214974E-3</c:v>
                </c:pt>
                <c:pt idx="24">
                  <c:v>6.6284222285303059E-3</c:v>
                </c:pt>
                <c:pt idx="25">
                  <c:v>6.5365180637021025E-3</c:v>
                </c:pt>
                <c:pt idx="26">
                  <c:v>6.4477238520368992E-3</c:v>
                </c:pt>
                <c:pt idx="27">
                  <c:v>6.3620395935346831E-3</c:v>
                </c:pt>
                <c:pt idx="28">
                  <c:v>6.2794652881954542E-3</c:v>
                </c:pt>
                <c:pt idx="29">
                  <c:v>6.2000009360192194E-3</c:v>
                </c:pt>
                <c:pt idx="30">
                  <c:v>6.1236465370059796E-3</c:v>
                </c:pt>
                <c:pt idx="31">
                  <c:v>6.0504020911557269E-3</c:v>
                </c:pt>
                <c:pt idx="32">
                  <c:v>5.9802675984684675E-3</c:v>
                </c:pt>
                <c:pt idx="33">
                  <c:v>5.9132430589441953E-3</c:v>
                </c:pt>
                <c:pt idx="34">
                  <c:v>5.8493284725829172E-3</c:v>
                </c:pt>
                <c:pt idx="35">
                  <c:v>5.7885238393846333E-3</c:v>
                </c:pt>
                <c:pt idx="36">
                  <c:v>5.7308291593493373E-3</c:v>
                </c:pt>
                <c:pt idx="37">
                  <c:v>5.6762444324770346E-3</c:v>
                </c:pt>
                <c:pt idx="38">
                  <c:v>5.6247696587677261E-3</c:v>
                </c:pt>
                <c:pt idx="39">
                  <c:v>5.5764048382214047E-3</c:v>
                </c:pt>
                <c:pt idx="40">
                  <c:v>5.5311499708380705E-3</c:v>
                </c:pt>
                <c:pt idx="41">
                  <c:v>5.4890050566177313E-3</c:v>
                </c:pt>
                <c:pt idx="42">
                  <c:v>5.4499700955603853E-3</c:v>
                </c:pt>
                <c:pt idx="43">
                  <c:v>5.4140450876660334E-3</c:v>
                </c:pt>
                <c:pt idx="44">
                  <c:v>5.3812300329346687E-3</c:v>
                </c:pt>
                <c:pt idx="45">
                  <c:v>5.3515249313662982E-3</c:v>
                </c:pt>
                <c:pt idx="46">
                  <c:v>5.3249297829609157E-3</c:v>
                </c:pt>
                <c:pt idx="47">
                  <c:v>5.3014445877185264E-3</c:v>
                </c:pt>
                <c:pt idx="48">
                  <c:v>5.2810693456391312E-3</c:v>
                </c:pt>
                <c:pt idx="49">
                  <c:v>5.2638040567227241E-3</c:v>
                </c:pt>
                <c:pt idx="50">
                  <c:v>5.2496487209693033E-3</c:v>
                </c:pt>
                <c:pt idx="51">
                  <c:v>5.2386033383788836E-3</c:v>
                </c:pt>
                <c:pt idx="52">
                  <c:v>5.2306679089514519E-3</c:v>
                </c:pt>
                <c:pt idx="53">
                  <c:v>5.2258424326870057E-3</c:v>
                </c:pt>
                <c:pt idx="54">
                  <c:v>5.2241269095855553E-3</c:v>
                </c:pt>
                <c:pt idx="55">
                  <c:v>5.2255213396471059E-3</c:v>
                </c:pt>
                <c:pt idx="56">
                  <c:v>5.2300257228716351E-3</c:v>
                </c:pt>
                <c:pt idx="57">
                  <c:v>5.2376400592591601E-3</c:v>
                </c:pt>
                <c:pt idx="58">
                  <c:v>5.2483643488096705E-3</c:v>
                </c:pt>
                <c:pt idx="59">
                  <c:v>5.2621985915231838E-3</c:v>
                </c:pt>
                <c:pt idx="60">
                  <c:v>5.2791427873996773E-3</c:v>
                </c:pt>
                <c:pt idx="61">
                  <c:v>5.2991969364391709E-3</c:v>
                </c:pt>
                <c:pt idx="62">
                  <c:v>5.3223610386416449E-3</c:v>
                </c:pt>
                <c:pt idx="63">
                  <c:v>5.3486350940071276E-3</c:v>
                </c:pt>
                <c:pt idx="64">
                  <c:v>5.3780191025355889E-3</c:v>
                </c:pt>
                <c:pt idx="65">
                  <c:v>5.4105130642270391E-3</c:v>
                </c:pt>
                <c:pt idx="66">
                  <c:v>5.4461169790814886E-3</c:v>
                </c:pt>
                <c:pt idx="67">
                  <c:v>5.484830847098927E-3</c:v>
                </c:pt>
                <c:pt idx="68">
                  <c:v>5.5266546682793587E-3</c:v>
                </c:pt>
                <c:pt idx="69">
                  <c:v>5.5715884426227776E-3</c:v>
                </c:pt>
                <c:pt idx="70">
                  <c:v>5.6196321701291914E-3</c:v>
                </c:pt>
                <c:pt idx="71">
                  <c:v>5.6707858507985915E-3</c:v>
                </c:pt>
                <c:pt idx="72">
                  <c:v>5.7250494846309867E-3</c:v>
                </c:pt>
                <c:pt idx="73">
                  <c:v>5.782423071626375E-3</c:v>
                </c:pt>
                <c:pt idx="74">
                  <c:v>5.8429066117847445E-3</c:v>
                </c:pt>
                <c:pt idx="75">
                  <c:v>5.9065001051061203E-3</c:v>
                </c:pt>
                <c:pt idx="76">
                  <c:v>5.973203551590478E-3</c:v>
                </c:pt>
                <c:pt idx="77">
                  <c:v>6.0430169512378281E-3</c:v>
                </c:pt>
                <c:pt idx="78">
                  <c:v>6.1159403040481741E-3</c:v>
                </c:pt>
                <c:pt idx="79">
                  <c:v>6.1919736100215133E-3</c:v>
                </c:pt>
                <c:pt idx="80">
                  <c:v>6.2711168691578327E-3</c:v>
                </c:pt>
              </c:numCache>
            </c:numRef>
          </c:val>
          <c:extLst>
            <c:ext xmlns:c16="http://schemas.microsoft.com/office/drawing/2014/chart" uri="{C3380CC4-5D6E-409C-BE32-E72D297353CC}">
              <c16:uniqueId val="{0000008E-B0BD-44B6-BED5-7CDF3E877C37}"/>
            </c:ext>
          </c:extLst>
        </c:ser>
        <c:ser>
          <c:idx val="23"/>
          <c:order val="23"/>
          <c:tx>
            <c:strRef>
              <c:f>Interpolation!$S$26</c:f>
              <c:strCache>
                <c:ptCount val="1"/>
                <c:pt idx="0">
                  <c:v>32.3</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Interpolation!$T$26:$CV$26</c:f>
              <c:numCache>
                <c:formatCode>General</c:formatCode>
                <c:ptCount val="81"/>
                <c:pt idx="0">
                  <c:v>9.7436453996541123E-3</c:v>
                </c:pt>
                <c:pt idx="1">
                  <c:v>9.5770071283313857E-3</c:v>
                </c:pt>
                <c:pt idx="2">
                  <c:v>9.4134788101716532E-3</c:v>
                </c:pt>
                <c:pt idx="3">
                  <c:v>9.2530604451749147E-3</c:v>
                </c:pt>
                <c:pt idx="4">
                  <c:v>9.0957520333411705E-3</c:v>
                </c:pt>
                <c:pt idx="5">
                  <c:v>8.9415535746704064E-3</c:v>
                </c:pt>
                <c:pt idx="6">
                  <c:v>8.7904650691626365E-3</c:v>
                </c:pt>
                <c:pt idx="7">
                  <c:v>8.6424865168178468E-3</c:v>
                </c:pt>
                <c:pt idx="8">
                  <c:v>8.4976179176360651E-3</c:v>
                </c:pt>
                <c:pt idx="9">
                  <c:v>8.3558592716172775E-3</c:v>
                </c:pt>
                <c:pt idx="10">
                  <c:v>8.2172105787614701E-3</c:v>
                </c:pt>
                <c:pt idx="11">
                  <c:v>8.0816718390686569E-3</c:v>
                </c:pt>
                <c:pt idx="12">
                  <c:v>7.9492430525388378E-3</c:v>
                </c:pt>
                <c:pt idx="13">
                  <c:v>7.8199242191720128E-3</c:v>
                </c:pt>
                <c:pt idx="14">
                  <c:v>7.6937153389681672E-3</c:v>
                </c:pt>
                <c:pt idx="15">
                  <c:v>7.5706164119273235E-3</c:v>
                </c:pt>
                <c:pt idx="16">
                  <c:v>7.450627438049467E-3</c:v>
                </c:pt>
                <c:pt idx="17">
                  <c:v>7.3337484173345976E-3</c:v>
                </c:pt>
                <c:pt idx="18">
                  <c:v>7.2199793497827293E-3</c:v>
                </c:pt>
                <c:pt idx="19">
                  <c:v>7.1093202353938482E-3</c:v>
                </c:pt>
                <c:pt idx="20">
                  <c:v>7.0017710741679543E-3</c:v>
                </c:pt>
                <c:pt idx="21">
                  <c:v>6.8973318661050605E-3</c:v>
                </c:pt>
                <c:pt idx="22">
                  <c:v>6.7960026112051548E-3</c:v>
                </c:pt>
                <c:pt idx="23">
                  <c:v>6.6977833094682363E-3</c:v>
                </c:pt>
                <c:pt idx="24">
                  <c:v>6.6026739608943119E-3</c:v>
                </c:pt>
                <c:pt idx="25">
                  <c:v>6.5106745654833747E-3</c:v>
                </c:pt>
                <c:pt idx="26">
                  <c:v>6.4217851232354385E-3</c:v>
                </c:pt>
                <c:pt idx="27">
                  <c:v>6.3360056341504895E-3</c:v>
                </c:pt>
                <c:pt idx="28">
                  <c:v>6.2533360982285277E-3</c:v>
                </c:pt>
                <c:pt idx="29">
                  <c:v>6.17377651546956E-3</c:v>
                </c:pt>
                <c:pt idx="30">
                  <c:v>6.0973268858735856E-3</c:v>
                </c:pt>
                <c:pt idx="31">
                  <c:v>6.0239872094406E-3</c:v>
                </c:pt>
                <c:pt idx="32">
                  <c:v>5.9537574861706077E-3</c:v>
                </c:pt>
                <c:pt idx="33">
                  <c:v>5.8866377160636018E-3</c:v>
                </c:pt>
                <c:pt idx="34">
                  <c:v>5.8226278991195908E-3</c:v>
                </c:pt>
                <c:pt idx="35">
                  <c:v>5.7617280353385739E-3</c:v>
                </c:pt>
                <c:pt idx="36">
                  <c:v>5.7039381247205442E-3</c:v>
                </c:pt>
                <c:pt idx="37">
                  <c:v>5.6492581672655086E-3</c:v>
                </c:pt>
                <c:pt idx="38">
                  <c:v>5.5976881629734663E-3</c:v>
                </c:pt>
                <c:pt idx="39">
                  <c:v>5.549228111844412E-3</c:v>
                </c:pt>
                <c:pt idx="40">
                  <c:v>5.5038780138783449E-3</c:v>
                </c:pt>
                <c:pt idx="41">
                  <c:v>5.4616378690752719E-3</c:v>
                </c:pt>
                <c:pt idx="42">
                  <c:v>5.422507677435193E-3</c:v>
                </c:pt>
                <c:pt idx="43">
                  <c:v>5.3864874389581083E-3</c:v>
                </c:pt>
                <c:pt idx="44">
                  <c:v>5.3535771536440107E-3</c:v>
                </c:pt>
                <c:pt idx="45">
                  <c:v>5.3237768214929072E-3</c:v>
                </c:pt>
                <c:pt idx="46">
                  <c:v>5.297086442504791E-3</c:v>
                </c:pt>
                <c:pt idx="47">
                  <c:v>5.2735060166796688E-3</c:v>
                </c:pt>
                <c:pt idx="48">
                  <c:v>5.2530355440175407E-3</c:v>
                </c:pt>
                <c:pt idx="49">
                  <c:v>5.2356750245183999E-3</c:v>
                </c:pt>
                <c:pt idx="50">
                  <c:v>5.2214244581822453E-3</c:v>
                </c:pt>
                <c:pt idx="51">
                  <c:v>5.2102838450090927E-3</c:v>
                </c:pt>
                <c:pt idx="52">
                  <c:v>5.2022531849989272E-3</c:v>
                </c:pt>
                <c:pt idx="53">
                  <c:v>5.1973324781517489E-3</c:v>
                </c:pt>
                <c:pt idx="54">
                  <c:v>5.1955217244675639E-3</c:v>
                </c:pt>
                <c:pt idx="55">
                  <c:v>5.1968209239463816E-3</c:v>
                </c:pt>
                <c:pt idx="56">
                  <c:v>5.2012300765881779E-3</c:v>
                </c:pt>
                <c:pt idx="57">
                  <c:v>5.2087491823929691E-3</c:v>
                </c:pt>
                <c:pt idx="58">
                  <c:v>5.2193782413607476E-3</c:v>
                </c:pt>
                <c:pt idx="59">
                  <c:v>5.2331172534915271E-3</c:v>
                </c:pt>
                <c:pt idx="60">
                  <c:v>5.2499662187852868E-3</c:v>
                </c:pt>
                <c:pt idx="61">
                  <c:v>5.2699251372420475E-3</c:v>
                </c:pt>
                <c:pt idx="62">
                  <c:v>5.2929940088617886E-3</c:v>
                </c:pt>
                <c:pt idx="63">
                  <c:v>5.3191728336445376E-3</c:v>
                </c:pt>
                <c:pt idx="64">
                  <c:v>5.3484616115902668E-3</c:v>
                </c:pt>
                <c:pt idx="65">
                  <c:v>5.3808603426989832E-3</c:v>
                </c:pt>
                <c:pt idx="66">
                  <c:v>5.4163690269706999E-3</c:v>
                </c:pt>
                <c:pt idx="67">
                  <c:v>5.4549876644054045E-3</c:v>
                </c:pt>
                <c:pt idx="68">
                  <c:v>5.4967162550031033E-3</c:v>
                </c:pt>
                <c:pt idx="69">
                  <c:v>5.5415547987637892E-3</c:v>
                </c:pt>
                <c:pt idx="70">
                  <c:v>5.5895032956874684E-3</c:v>
                </c:pt>
                <c:pt idx="71">
                  <c:v>5.6405617457741357E-3</c:v>
                </c:pt>
                <c:pt idx="72">
                  <c:v>5.6947301490237979E-3</c:v>
                </c:pt>
                <c:pt idx="73">
                  <c:v>5.7520085054364534E-3</c:v>
                </c:pt>
                <c:pt idx="74">
                  <c:v>5.8123968150120891E-3</c:v>
                </c:pt>
                <c:pt idx="75">
                  <c:v>5.875895077750732E-3</c:v>
                </c:pt>
                <c:pt idx="76">
                  <c:v>5.9425032936523559E-3</c:v>
                </c:pt>
                <c:pt idx="77">
                  <c:v>6.012221462716974E-3</c:v>
                </c:pt>
                <c:pt idx="78">
                  <c:v>6.0850495849445862E-3</c:v>
                </c:pt>
                <c:pt idx="79">
                  <c:v>6.1609876603351925E-3</c:v>
                </c:pt>
                <c:pt idx="80">
                  <c:v>6.240035688888779E-3</c:v>
                </c:pt>
              </c:numCache>
            </c:numRef>
          </c:val>
          <c:extLst>
            <c:ext xmlns:c16="http://schemas.microsoft.com/office/drawing/2014/chart" uri="{C3380CC4-5D6E-409C-BE32-E72D297353CC}">
              <c16:uniqueId val="{0000008F-B0BD-44B6-BED5-7CDF3E877C37}"/>
            </c:ext>
          </c:extLst>
        </c:ser>
        <c:ser>
          <c:idx val="24"/>
          <c:order val="24"/>
          <c:tx>
            <c:strRef>
              <c:f>Interpolation!$S$27</c:f>
              <c:strCache>
                <c:ptCount val="1"/>
                <c:pt idx="0">
                  <c:v>32.4</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Interpolation!$T$27:$CV$27</c:f>
              <c:numCache>
                <c:formatCode>General</c:formatCode>
                <c:ptCount val="81"/>
                <c:pt idx="0">
                  <c:v>9.7210831197305347E-3</c:v>
                </c:pt>
                <c:pt idx="1">
                  <c:v>9.5543496178250743E-3</c:v>
                </c:pt>
                <c:pt idx="2">
                  <c:v>9.390726069082608E-3</c:v>
                </c:pt>
                <c:pt idx="3">
                  <c:v>9.2302124735031358E-3</c:v>
                </c:pt>
                <c:pt idx="4">
                  <c:v>9.0728088310866595E-3</c:v>
                </c:pt>
                <c:pt idx="5">
                  <c:v>8.9185151418331617E-3</c:v>
                </c:pt>
                <c:pt idx="6">
                  <c:v>8.767331405742658E-3</c:v>
                </c:pt>
                <c:pt idx="7">
                  <c:v>8.6192576228151345E-3</c:v>
                </c:pt>
                <c:pt idx="8">
                  <c:v>8.4742937930506208E-3</c:v>
                </c:pt>
                <c:pt idx="9">
                  <c:v>8.3324399164490994E-3</c:v>
                </c:pt>
                <c:pt idx="10">
                  <c:v>8.1936959930105583E-3</c:v>
                </c:pt>
                <c:pt idx="11">
                  <c:v>8.0580620227350113E-3</c:v>
                </c:pt>
                <c:pt idx="12">
                  <c:v>7.9255380056224602E-3</c:v>
                </c:pt>
                <c:pt idx="13">
                  <c:v>7.7961239416729014E-3</c:v>
                </c:pt>
                <c:pt idx="14">
                  <c:v>7.6698198308863229E-3</c:v>
                </c:pt>
                <c:pt idx="15">
                  <c:v>7.5466256732627463E-3</c:v>
                </c:pt>
                <c:pt idx="16">
                  <c:v>7.426541468802156E-3</c:v>
                </c:pt>
                <c:pt idx="17">
                  <c:v>7.3095672175045538E-3</c:v>
                </c:pt>
                <c:pt idx="18">
                  <c:v>7.1957029193699517E-3</c:v>
                </c:pt>
                <c:pt idx="19">
                  <c:v>7.0849485743983377E-3</c:v>
                </c:pt>
                <c:pt idx="20">
                  <c:v>6.9773041825897109E-3</c:v>
                </c:pt>
                <c:pt idx="21">
                  <c:v>6.8727697439440842E-3</c:v>
                </c:pt>
                <c:pt idx="22">
                  <c:v>6.7713452584614447E-3</c:v>
                </c:pt>
                <c:pt idx="23">
                  <c:v>6.6730307261417933E-3</c:v>
                </c:pt>
                <c:pt idx="24">
                  <c:v>6.577826146985136E-3</c:v>
                </c:pt>
                <c:pt idx="25">
                  <c:v>6.485731520991465E-3</c:v>
                </c:pt>
                <c:pt idx="26">
                  <c:v>6.396746848160796E-3</c:v>
                </c:pt>
                <c:pt idx="27">
                  <c:v>6.3108721284931132E-3</c:v>
                </c:pt>
                <c:pt idx="28">
                  <c:v>6.2281073619884185E-3</c:v>
                </c:pt>
                <c:pt idx="29">
                  <c:v>6.148452548646717E-3</c:v>
                </c:pt>
                <c:pt idx="30">
                  <c:v>6.0719076884680097E-3</c:v>
                </c:pt>
                <c:pt idx="31">
                  <c:v>5.9984727814522904E-3</c:v>
                </c:pt>
                <c:pt idx="32">
                  <c:v>5.9281478275995652E-3</c:v>
                </c:pt>
                <c:pt idx="33">
                  <c:v>5.8609328269098263E-3</c:v>
                </c:pt>
                <c:pt idx="34">
                  <c:v>5.7968277793830824E-3</c:v>
                </c:pt>
                <c:pt idx="35">
                  <c:v>5.7358326850193318E-3</c:v>
                </c:pt>
                <c:pt idx="36">
                  <c:v>5.6779475438185692E-3</c:v>
                </c:pt>
                <c:pt idx="37">
                  <c:v>5.6231723557807999E-3</c:v>
                </c:pt>
                <c:pt idx="38">
                  <c:v>5.5715071209060255E-3</c:v>
                </c:pt>
                <c:pt idx="39">
                  <c:v>5.5229518391942374E-3</c:v>
                </c:pt>
                <c:pt idx="40">
                  <c:v>5.4775065106454374E-3</c:v>
                </c:pt>
                <c:pt idx="41">
                  <c:v>5.4351711352596307E-3</c:v>
                </c:pt>
                <c:pt idx="42">
                  <c:v>5.3959457130368189E-3</c:v>
                </c:pt>
                <c:pt idx="43">
                  <c:v>5.3598302439770013E-3</c:v>
                </c:pt>
                <c:pt idx="44">
                  <c:v>5.3268247280801699E-3</c:v>
                </c:pt>
                <c:pt idx="45">
                  <c:v>5.2969291653463327E-3</c:v>
                </c:pt>
                <c:pt idx="46">
                  <c:v>5.2701435557754835E-3</c:v>
                </c:pt>
                <c:pt idx="47">
                  <c:v>5.2464678993676284E-3</c:v>
                </c:pt>
                <c:pt idx="48">
                  <c:v>5.2259021961227666E-3</c:v>
                </c:pt>
                <c:pt idx="49">
                  <c:v>5.208446446040892E-3</c:v>
                </c:pt>
                <c:pt idx="50">
                  <c:v>5.1941006491220054E-3</c:v>
                </c:pt>
                <c:pt idx="51">
                  <c:v>5.1828648053661198E-3</c:v>
                </c:pt>
                <c:pt idx="52">
                  <c:v>5.1747389147732206E-3</c:v>
                </c:pt>
                <c:pt idx="53">
                  <c:v>5.1697229773433086E-3</c:v>
                </c:pt>
                <c:pt idx="54">
                  <c:v>5.1678169930763915E-3</c:v>
                </c:pt>
                <c:pt idx="55">
                  <c:v>5.1690209619724755E-3</c:v>
                </c:pt>
                <c:pt idx="56">
                  <c:v>5.1733348840315389E-3</c:v>
                </c:pt>
                <c:pt idx="57">
                  <c:v>5.1807587592535963E-3</c:v>
                </c:pt>
                <c:pt idx="58">
                  <c:v>5.1912925876386419E-3</c:v>
                </c:pt>
                <c:pt idx="59">
                  <c:v>5.2049363691866884E-3</c:v>
                </c:pt>
                <c:pt idx="60">
                  <c:v>5.2216901038977144E-3</c:v>
                </c:pt>
                <c:pt idx="61">
                  <c:v>5.2415537917717423E-3</c:v>
                </c:pt>
                <c:pt idx="62">
                  <c:v>5.2645274328087504E-3</c:v>
                </c:pt>
                <c:pt idx="63">
                  <c:v>5.2906110270087656E-3</c:v>
                </c:pt>
                <c:pt idx="64">
                  <c:v>5.3198045743717611E-3</c:v>
                </c:pt>
                <c:pt idx="65">
                  <c:v>5.3521080748977438E-3</c:v>
                </c:pt>
                <c:pt idx="66">
                  <c:v>5.3875215285867284E-3</c:v>
                </c:pt>
                <c:pt idx="67">
                  <c:v>5.4260449354387001E-3</c:v>
                </c:pt>
                <c:pt idx="68">
                  <c:v>5.4676782954536651E-3</c:v>
                </c:pt>
                <c:pt idx="69">
                  <c:v>5.5124216086316173E-3</c:v>
                </c:pt>
                <c:pt idx="70">
                  <c:v>5.5602748749725645E-3</c:v>
                </c:pt>
                <c:pt idx="71">
                  <c:v>5.6112380944764988E-3</c:v>
                </c:pt>
                <c:pt idx="72">
                  <c:v>5.6653112671434264E-3</c:v>
                </c:pt>
                <c:pt idx="73">
                  <c:v>5.722494392973349E-3</c:v>
                </c:pt>
                <c:pt idx="74">
                  <c:v>5.7827874719662518E-3</c:v>
                </c:pt>
                <c:pt idx="75">
                  <c:v>5.8461905041221618E-3</c:v>
                </c:pt>
                <c:pt idx="76">
                  <c:v>5.912703489441052E-3</c:v>
                </c:pt>
                <c:pt idx="77">
                  <c:v>5.9823264279229372E-3</c:v>
                </c:pt>
                <c:pt idx="78">
                  <c:v>6.0550593195678164E-3</c:v>
                </c:pt>
                <c:pt idx="79">
                  <c:v>6.130902164375689E-3</c:v>
                </c:pt>
                <c:pt idx="80">
                  <c:v>6.2098549623465418E-3</c:v>
                </c:pt>
              </c:numCache>
            </c:numRef>
          </c:val>
          <c:extLst>
            <c:ext xmlns:c16="http://schemas.microsoft.com/office/drawing/2014/chart" uri="{C3380CC4-5D6E-409C-BE32-E72D297353CC}">
              <c16:uniqueId val="{00000090-B0BD-44B6-BED5-7CDF3E877C37}"/>
            </c:ext>
          </c:extLst>
        </c:ser>
        <c:ser>
          <c:idx val="25"/>
          <c:order val="25"/>
          <c:tx>
            <c:strRef>
              <c:f>Interpolation!$S$28</c:f>
              <c:strCache>
                <c:ptCount val="1"/>
                <c:pt idx="0">
                  <c:v>32.5</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Interpolation!$T$28:$CV$28</c:f>
              <c:numCache>
                <c:formatCode>General</c:formatCode>
                <c:ptCount val="81"/>
                <c:pt idx="0">
                  <c:v>9.6994212935337595E-3</c:v>
                </c:pt>
                <c:pt idx="1">
                  <c:v>9.5325925610455654E-3</c:v>
                </c:pt>
                <c:pt idx="2">
                  <c:v>9.368873781720367E-3</c:v>
                </c:pt>
                <c:pt idx="3">
                  <c:v>9.2082649555581611E-3</c:v>
                </c:pt>
                <c:pt idx="4">
                  <c:v>9.050766082558951E-3</c:v>
                </c:pt>
                <c:pt idx="5">
                  <c:v>8.8963771627227212E-3</c:v>
                </c:pt>
                <c:pt idx="6">
                  <c:v>8.7450981960494837E-3</c:v>
                </c:pt>
                <c:pt idx="7">
                  <c:v>8.5969291825392282E-3</c:v>
                </c:pt>
                <c:pt idx="8">
                  <c:v>8.451870122191979E-3</c:v>
                </c:pt>
                <c:pt idx="9">
                  <c:v>8.3099210150077256E-3</c:v>
                </c:pt>
                <c:pt idx="10">
                  <c:v>8.1710818609864507E-3</c:v>
                </c:pt>
                <c:pt idx="11">
                  <c:v>8.0353526601281717E-3</c:v>
                </c:pt>
                <c:pt idx="12">
                  <c:v>7.9027334124328868E-3</c:v>
                </c:pt>
                <c:pt idx="13">
                  <c:v>7.7732241179005943E-3</c:v>
                </c:pt>
                <c:pt idx="14">
                  <c:v>7.6468247765312837E-3</c:v>
                </c:pt>
                <c:pt idx="15">
                  <c:v>7.5235353883249733E-3</c:v>
                </c:pt>
                <c:pt idx="16">
                  <c:v>7.4033559532816502E-3</c:v>
                </c:pt>
                <c:pt idx="17">
                  <c:v>7.2862864714013141E-3</c:v>
                </c:pt>
                <c:pt idx="18">
                  <c:v>7.1723269426839792E-3</c:v>
                </c:pt>
                <c:pt idx="19">
                  <c:v>7.0614773671296314E-3</c:v>
                </c:pt>
                <c:pt idx="20">
                  <c:v>6.9537377447382708E-3</c:v>
                </c:pt>
                <c:pt idx="21">
                  <c:v>6.8491080755099121E-3</c:v>
                </c:pt>
                <c:pt idx="22">
                  <c:v>6.7475883594445389E-3</c:v>
                </c:pt>
                <c:pt idx="23">
                  <c:v>6.6491785965421546E-3</c:v>
                </c:pt>
                <c:pt idx="24">
                  <c:v>6.5538787868027635E-3</c:v>
                </c:pt>
                <c:pt idx="25">
                  <c:v>6.4616889302263596E-3</c:v>
                </c:pt>
                <c:pt idx="26">
                  <c:v>6.3726090268129568E-3</c:v>
                </c:pt>
                <c:pt idx="27">
                  <c:v>6.2866390765625411E-3</c:v>
                </c:pt>
                <c:pt idx="28">
                  <c:v>6.2037790794751135E-3</c:v>
                </c:pt>
                <c:pt idx="29">
                  <c:v>6.1240290355506783E-3</c:v>
                </c:pt>
                <c:pt idx="30">
                  <c:v>6.0473889447892389E-3</c:v>
                </c:pt>
                <c:pt idx="31">
                  <c:v>5.9738588071907859E-3</c:v>
                </c:pt>
                <c:pt idx="32">
                  <c:v>5.9034386227553269E-3</c:v>
                </c:pt>
                <c:pt idx="33">
                  <c:v>5.8361283914828551E-3</c:v>
                </c:pt>
                <c:pt idx="34">
                  <c:v>5.7719281133733775E-3</c:v>
                </c:pt>
                <c:pt idx="35">
                  <c:v>5.7108377884268948E-3</c:v>
                </c:pt>
                <c:pt idx="36">
                  <c:v>5.6528574166433984E-3</c:v>
                </c:pt>
                <c:pt idx="37">
                  <c:v>5.5979869980228962E-3</c:v>
                </c:pt>
                <c:pt idx="38">
                  <c:v>5.5462265325653881E-3</c:v>
                </c:pt>
                <c:pt idx="39">
                  <c:v>5.4975760202708671E-3</c:v>
                </c:pt>
                <c:pt idx="40">
                  <c:v>5.4520354611393334E-3</c:v>
                </c:pt>
                <c:pt idx="41">
                  <c:v>5.4096048551707937E-3</c:v>
                </c:pt>
                <c:pt idx="42">
                  <c:v>5.370284202365249E-3</c:v>
                </c:pt>
                <c:pt idx="43">
                  <c:v>5.3340735027226976E-3</c:v>
                </c:pt>
                <c:pt idx="44">
                  <c:v>5.3009727562431334E-3</c:v>
                </c:pt>
                <c:pt idx="45">
                  <c:v>5.2709819629265632E-3</c:v>
                </c:pt>
                <c:pt idx="46">
                  <c:v>5.2441011227729803E-3</c:v>
                </c:pt>
                <c:pt idx="47">
                  <c:v>5.2203302357823923E-3</c:v>
                </c:pt>
                <c:pt idx="48">
                  <c:v>5.1996693019547967E-3</c:v>
                </c:pt>
                <c:pt idx="49">
                  <c:v>5.1821183212901901E-3</c:v>
                </c:pt>
                <c:pt idx="50">
                  <c:v>5.1676772937885697E-3</c:v>
                </c:pt>
                <c:pt idx="51">
                  <c:v>5.1563462194499504E-3</c:v>
                </c:pt>
                <c:pt idx="52">
                  <c:v>5.1481250982743183E-3</c:v>
                </c:pt>
                <c:pt idx="53">
                  <c:v>5.1430139302616733E-3</c:v>
                </c:pt>
                <c:pt idx="54">
                  <c:v>5.1410127154120225E-3</c:v>
                </c:pt>
                <c:pt idx="55">
                  <c:v>5.1421214537253727E-3</c:v>
                </c:pt>
                <c:pt idx="56">
                  <c:v>5.1463401452017041E-3</c:v>
                </c:pt>
                <c:pt idx="57">
                  <c:v>5.1536687898410278E-3</c:v>
                </c:pt>
                <c:pt idx="58">
                  <c:v>5.1641073876433404E-3</c:v>
                </c:pt>
                <c:pt idx="59">
                  <c:v>5.1776559386086541E-3</c:v>
                </c:pt>
                <c:pt idx="60">
                  <c:v>5.1943144427369463E-3</c:v>
                </c:pt>
                <c:pt idx="61">
                  <c:v>5.2140829000282413E-3</c:v>
                </c:pt>
                <c:pt idx="62">
                  <c:v>5.2369613104825147E-3</c:v>
                </c:pt>
                <c:pt idx="63">
                  <c:v>5.262949674099798E-3</c:v>
                </c:pt>
                <c:pt idx="64">
                  <c:v>5.2920479908800605E-3</c:v>
                </c:pt>
                <c:pt idx="65">
                  <c:v>5.3242562608233103E-3</c:v>
                </c:pt>
                <c:pt idx="66">
                  <c:v>5.3595744839295611E-3</c:v>
                </c:pt>
                <c:pt idx="67">
                  <c:v>5.3980026601987991E-3</c:v>
                </c:pt>
                <c:pt idx="68">
                  <c:v>5.4395407896310312E-3</c:v>
                </c:pt>
                <c:pt idx="69">
                  <c:v>5.4841888722262505E-3</c:v>
                </c:pt>
                <c:pt idx="70">
                  <c:v>5.5319469079844648E-3</c:v>
                </c:pt>
                <c:pt idx="71">
                  <c:v>5.5828148969056645E-3</c:v>
                </c:pt>
                <c:pt idx="72">
                  <c:v>5.6367928389898601E-3</c:v>
                </c:pt>
                <c:pt idx="73">
                  <c:v>5.6938807342370498E-3</c:v>
                </c:pt>
                <c:pt idx="74">
                  <c:v>5.7540785826472179E-3</c:v>
                </c:pt>
                <c:pt idx="75">
                  <c:v>5.8173863842203959E-3</c:v>
                </c:pt>
                <c:pt idx="76">
                  <c:v>5.8838041389565523E-3</c:v>
                </c:pt>
                <c:pt idx="77">
                  <c:v>5.9533318468557046E-3</c:v>
                </c:pt>
                <c:pt idx="78">
                  <c:v>6.0259695079178492E-3</c:v>
                </c:pt>
                <c:pt idx="79">
                  <c:v>6.1017171221429897E-3</c:v>
                </c:pt>
                <c:pt idx="80">
                  <c:v>6.1805746895311096E-3</c:v>
                </c:pt>
              </c:numCache>
            </c:numRef>
          </c:val>
          <c:extLst>
            <c:ext xmlns:c16="http://schemas.microsoft.com/office/drawing/2014/chart" uri="{C3380CC4-5D6E-409C-BE32-E72D297353CC}">
              <c16:uniqueId val="{00000091-B0BD-44B6-BED5-7CDF3E877C37}"/>
            </c:ext>
          </c:extLst>
        </c:ser>
        <c:ser>
          <c:idx val="26"/>
          <c:order val="26"/>
          <c:tx>
            <c:strRef>
              <c:f>Interpolation!$S$29</c:f>
              <c:strCache>
                <c:ptCount val="1"/>
                <c:pt idx="0">
                  <c:v>32.6</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Interpolation!$T$29:$CV$29</c:f>
              <c:numCache>
                <c:formatCode>General</c:formatCode>
                <c:ptCount val="81"/>
                <c:pt idx="0">
                  <c:v>9.6786599210638095E-3</c:v>
                </c:pt>
                <c:pt idx="1">
                  <c:v>9.5117359579928833E-3</c:v>
                </c:pt>
                <c:pt idx="2">
                  <c:v>9.3479219480849512E-3</c:v>
                </c:pt>
                <c:pt idx="3">
                  <c:v>9.1872178913400132E-3</c:v>
                </c:pt>
                <c:pt idx="4">
                  <c:v>9.0296237877580676E-3</c:v>
                </c:pt>
                <c:pt idx="5">
                  <c:v>8.875139637339104E-3</c:v>
                </c:pt>
                <c:pt idx="6">
                  <c:v>8.7237654400831345E-3</c:v>
                </c:pt>
                <c:pt idx="7">
                  <c:v>8.5755011959901453E-3</c:v>
                </c:pt>
                <c:pt idx="8">
                  <c:v>8.430346905060164E-3</c:v>
                </c:pt>
                <c:pt idx="9">
                  <c:v>8.2883025672931768E-3</c:v>
                </c:pt>
                <c:pt idx="10">
                  <c:v>8.1493681826891699E-3</c:v>
                </c:pt>
                <c:pt idx="11">
                  <c:v>8.0135437512481571E-3</c:v>
                </c:pt>
                <c:pt idx="12">
                  <c:v>7.8808292729701385E-3</c:v>
                </c:pt>
                <c:pt idx="13">
                  <c:v>7.751224747855113E-3</c:v>
                </c:pt>
                <c:pt idx="14">
                  <c:v>7.6247301759030687E-3</c:v>
                </c:pt>
                <c:pt idx="15">
                  <c:v>7.5013455571140246E-3</c:v>
                </c:pt>
                <c:pt idx="16">
                  <c:v>7.3810708914879685E-3</c:v>
                </c:pt>
                <c:pt idx="17">
                  <c:v>7.2639061790248996E-3</c:v>
                </c:pt>
                <c:pt idx="18">
                  <c:v>7.1498514197248317E-3</c:v>
                </c:pt>
                <c:pt idx="19">
                  <c:v>7.0389066135877511E-3</c:v>
                </c:pt>
                <c:pt idx="20">
                  <c:v>6.9310717606136567E-3</c:v>
                </c:pt>
                <c:pt idx="21">
                  <c:v>6.8263468608025643E-3</c:v>
                </c:pt>
                <c:pt idx="22">
                  <c:v>6.724731914154459E-3</c:v>
                </c:pt>
                <c:pt idx="23">
                  <c:v>6.6262269206693401E-3</c:v>
                </c:pt>
                <c:pt idx="24">
                  <c:v>6.5308318803472161E-3</c:v>
                </c:pt>
                <c:pt idx="25">
                  <c:v>6.4385467931880793E-3</c:v>
                </c:pt>
                <c:pt idx="26">
                  <c:v>6.3493716591919436E-3</c:v>
                </c:pt>
                <c:pt idx="27">
                  <c:v>6.263306478358795E-3</c:v>
                </c:pt>
                <c:pt idx="28">
                  <c:v>6.1803512506886328E-3</c:v>
                </c:pt>
                <c:pt idx="29">
                  <c:v>6.1005059761814655E-3</c:v>
                </c:pt>
                <c:pt idx="30">
                  <c:v>6.0237706548372924E-3</c:v>
                </c:pt>
                <c:pt idx="31">
                  <c:v>5.9501452866561064E-3</c:v>
                </c:pt>
                <c:pt idx="32">
                  <c:v>5.8796298716379146E-3</c:v>
                </c:pt>
                <c:pt idx="33">
                  <c:v>5.812224409782709E-3</c:v>
                </c:pt>
                <c:pt idx="34">
                  <c:v>5.7479289010904985E-3</c:v>
                </c:pt>
                <c:pt idx="35">
                  <c:v>5.686743345561282E-3</c:v>
                </c:pt>
                <c:pt idx="36">
                  <c:v>5.6286677431950528E-3</c:v>
                </c:pt>
                <c:pt idx="37">
                  <c:v>5.5737020939918176E-3</c:v>
                </c:pt>
                <c:pt idx="38">
                  <c:v>5.5218463979515757E-3</c:v>
                </c:pt>
                <c:pt idx="39">
                  <c:v>5.4731006550743219E-3</c:v>
                </c:pt>
                <c:pt idx="40">
                  <c:v>5.4274648653600552E-3</c:v>
                </c:pt>
                <c:pt idx="41">
                  <c:v>5.3849390288087818E-3</c:v>
                </c:pt>
                <c:pt idx="42">
                  <c:v>5.3455231454205034E-3</c:v>
                </c:pt>
                <c:pt idx="43">
                  <c:v>5.309217215195219E-3</c:v>
                </c:pt>
                <c:pt idx="44">
                  <c:v>5.2760212381329219E-3</c:v>
                </c:pt>
                <c:pt idx="45">
                  <c:v>5.2459352142336189E-3</c:v>
                </c:pt>
                <c:pt idx="46">
                  <c:v>5.2189591434973022E-3</c:v>
                </c:pt>
                <c:pt idx="47">
                  <c:v>5.1950930259239804E-3</c:v>
                </c:pt>
                <c:pt idx="48">
                  <c:v>5.1743368615136528E-3</c:v>
                </c:pt>
                <c:pt idx="49">
                  <c:v>5.1566906502663124E-3</c:v>
                </c:pt>
                <c:pt idx="50">
                  <c:v>5.1421543921819591E-3</c:v>
                </c:pt>
                <c:pt idx="51">
                  <c:v>5.1307280872606061E-3</c:v>
                </c:pt>
                <c:pt idx="52">
                  <c:v>5.122411735502241E-3</c:v>
                </c:pt>
                <c:pt idx="53">
                  <c:v>5.1172053369068632E-3</c:v>
                </c:pt>
                <c:pt idx="54">
                  <c:v>5.1151088914744795E-3</c:v>
                </c:pt>
                <c:pt idx="55">
                  <c:v>5.1161223992050968E-3</c:v>
                </c:pt>
                <c:pt idx="56">
                  <c:v>5.1202458600986935E-3</c:v>
                </c:pt>
                <c:pt idx="57">
                  <c:v>5.1274792741552843E-3</c:v>
                </c:pt>
                <c:pt idx="58">
                  <c:v>5.1378226413748632E-3</c:v>
                </c:pt>
                <c:pt idx="59">
                  <c:v>5.1512759617574431E-3</c:v>
                </c:pt>
                <c:pt idx="60">
                  <c:v>5.1678392353030032E-3</c:v>
                </c:pt>
                <c:pt idx="61">
                  <c:v>5.1875124620115644E-3</c:v>
                </c:pt>
                <c:pt idx="62">
                  <c:v>5.2102956418831059E-3</c:v>
                </c:pt>
                <c:pt idx="63">
                  <c:v>5.2361887749176553E-3</c:v>
                </c:pt>
                <c:pt idx="64">
                  <c:v>5.265191861115185E-3</c:v>
                </c:pt>
                <c:pt idx="65">
                  <c:v>5.297304900475701E-3</c:v>
                </c:pt>
                <c:pt idx="66">
                  <c:v>5.3325278929992181E-3</c:v>
                </c:pt>
                <c:pt idx="67">
                  <c:v>5.3708608386857232E-3</c:v>
                </c:pt>
                <c:pt idx="68">
                  <c:v>5.4123037375352224E-3</c:v>
                </c:pt>
                <c:pt idx="69">
                  <c:v>5.4568565895477088E-3</c:v>
                </c:pt>
                <c:pt idx="70">
                  <c:v>5.5045193947231893E-3</c:v>
                </c:pt>
                <c:pt idx="71">
                  <c:v>5.555292153061657E-3</c:v>
                </c:pt>
                <c:pt idx="72">
                  <c:v>5.6091748645631188E-3</c:v>
                </c:pt>
                <c:pt idx="73">
                  <c:v>5.6661675292275747E-3</c:v>
                </c:pt>
                <c:pt idx="74">
                  <c:v>5.7262701470550108E-3</c:v>
                </c:pt>
                <c:pt idx="75">
                  <c:v>5.7894827180454541E-3</c:v>
                </c:pt>
                <c:pt idx="76">
                  <c:v>5.8558052421988777E-3</c:v>
                </c:pt>
                <c:pt idx="77">
                  <c:v>5.9252377195152962E-3</c:v>
                </c:pt>
                <c:pt idx="78">
                  <c:v>5.9977801499947088E-3</c:v>
                </c:pt>
                <c:pt idx="79">
                  <c:v>6.0734325336371155E-3</c:v>
                </c:pt>
                <c:pt idx="80">
                  <c:v>6.1521948704425025E-3</c:v>
                </c:pt>
              </c:numCache>
            </c:numRef>
          </c:val>
          <c:extLst>
            <c:ext xmlns:c16="http://schemas.microsoft.com/office/drawing/2014/chart" uri="{C3380CC4-5D6E-409C-BE32-E72D297353CC}">
              <c16:uniqueId val="{00000092-B0BD-44B6-BED5-7CDF3E877C37}"/>
            </c:ext>
          </c:extLst>
        </c:ser>
        <c:ser>
          <c:idx val="27"/>
          <c:order val="27"/>
          <c:tx>
            <c:strRef>
              <c:f>Interpolation!$S$30</c:f>
              <c:strCache>
                <c:ptCount val="1"/>
                <c:pt idx="0">
                  <c:v>32.7</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Interpolation!$T$30:$CV$30</c:f>
              <c:numCache>
                <c:formatCode>General</c:formatCode>
                <c:ptCount val="81"/>
                <c:pt idx="0">
                  <c:v>9.6587990023206845E-3</c:v>
                </c:pt>
                <c:pt idx="1">
                  <c:v>9.4917798086670245E-3</c:v>
                </c:pt>
                <c:pt idx="2">
                  <c:v>9.3278705681763587E-3</c:v>
                </c:pt>
                <c:pt idx="3">
                  <c:v>9.1670712808486886E-3</c:v>
                </c:pt>
                <c:pt idx="4">
                  <c:v>9.009381946684011E-3</c:v>
                </c:pt>
                <c:pt idx="5">
                  <c:v>8.8548025656823137E-3</c:v>
                </c:pt>
                <c:pt idx="6">
                  <c:v>8.7033331378436104E-3</c:v>
                </c:pt>
                <c:pt idx="7">
                  <c:v>8.5549736631678874E-3</c:v>
                </c:pt>
                <c:pt idx="8">
                  <c:v>8.4097241416551741E-3</c:v>
                </c:pt>
                <c:pt idx="9">
                  <c:v>8.2675845733054532E-3</c:v>
                </c:pt>
                <c:pt idx="10">
                  <c:v>8.1285549581187125E-3</c:v>
                </c:pt>
                <c:pt idx="11">
                  <c:v>7.9926352960949659E-3</c:v>
                </c:pt>
                <c:pt idx="12">
                  <c:v>7.8598255872342135E-3</c:v>
                </c:pt>
                <c:pt idx="13">
                  <c:v>7.730125831536456E-3</c:v>
                </c:pt>
                <c:pt idx="14">
                  <c:v>7.6035360290016788E-3</c:v>
                </c:pt>
                <c:pt idx="15">
                  <c:v>7.4800561796299018E-3</c:v>
                </c:pt>
                <c:pt idx="16">
                  <c:v>7.3596862834211119E-3</c:v>
                </c:pt>
                <c:pt idx="17">
                  <c:v>7.2424263403753101E-3</c:v>
                </c:pt>
                <c:pt idx="18">
                  <c:v>7.1282763504925085E-3</c:v>
                </c:pt>
                <c:pt idx="19">
                  <c:v>7.0172363137726949E-3</c:v>
                </c:pt>
                <c:pt idx="20">
                  <c:v>6.9093062302158677E-3</c:v>
                </c:pt>
                <c:pt idx="21">
                  <c:v>6.8044860998220423E-3</c:v>
                </c:pt>
                <c:pt idx="22">
                  <c:v>6.7027759225912033E-3</c:v>
                </c:pt>
                <c:pt idx="23">
                  <c:v>6.6041756985233515E-3</c:v>
                </c:pt>
                <c:pt idx="24">
                  <c:v>6.5086854276184946E-3</c:v>
                </c:pt>
                <c:pt idx="25">
                  <c:v>6.416305109876624E-3</c:v>
                </c:pt>
                <c:pt idx="26">
                  <c:v>6.3270347452977554E-3</c:v>
                </c:pt>
                <c:pt idx="27">
                  <c:v>6.2408743338818731E-3</c:v>
                </c:pt>
                <c:pt idx="28">
                  <c:v>6.1578238756289779E-3</c:v>
                </c:pt>
                <c:pt idx="29">
                  <c:v>6.0778833705390778E-3</c:v>
                </c:pt>
                <c:pt idx="30">
                  <c:v>6.0010528186121709E-3</c:v>
                </c:pt>
                <c:pt idx="31">
                  <c:v>5.927332219848252E-3</c:v>
                </c:pt>
                <c:pt idx="32">
                  <c:v>5.8567215742473264E-3</c:v>
                </c:pt>
                <c:pt idx="33">
                  <c:v>5.789220881809388E-3</c:v>
                </c:pt>
                <c:pt idx="34">
                  <c:v>5.7248301425344445E-3</c:v>
                </c:pt>
                <c:pt idx="35">
                  <c:v>5.6635493564224943E-3</c:v>
                </c:pt>
                <c:pt idx="36">
                  <c:v>5.6053785234735313E-3</c:v>
                </c:pt>
                <c:pt idx="37">
                  <c:v>5.5503176436875632E-3</c:v>
                </c:pt>
                <c:pt idx="38">
                  <c:v>5.4983667170645893E-3</c:v>
                </c:pt>
                <c:pt idx="39">
                  <c:v>5.4495257436046017E-3</c:v>
                </c:pt>
                <c:pt idx="40">
                  <c:v>5.4037947233076013E-3</c:v>
                </c:pt>
                <c:pt idx="41">
                  <c:v>5.3611736561735958E-3</c:v>
                </c:pt>
                <c:pt idx="42">
                  <c:v>5.3216625422025836E-3</c:v>
                </c:pt>
                <c:pt idx="43">
                  <c:v>5.2852613813945664E-3</c:v>
                </c:pt>
                <c:pt idx="44">
                  <c:v>5.2519701737495355E-3</c:v>
                </c:pt>
                <c:pt idx="45">
                  <c:v>5.2217889192674987E-3</c:v>
                </c:pt>
                <c:pt idx="46">
                  <c:v>5.1947176179484491E-3</c:v>
                </c:pt>
                <c:pt idx="47">
                  <c:v>5.1707562697923945E-3</c:v>
                </c:pt>
                <c:pt idx="48">
                  <c:v>5.149904874799334E-3</c:v>
                </c:pt>
                <c:pt idx="49">
                  <c:v>5.1321634329692598E-3</c:v>
                </c:pt>
                <c:pt idx="50">
                  <c:v>5.1175319443021727E-3</c:v>
                </c:pt>
                <c:pt idx="51">
                  <c:v>5.1060104087980876E-3</c:v>
                </c:pt>
                <c:pt idx="52">
                  <c:v>5.0975988264569888E-3</c:v>
                </c:pt>
                <c:pt idx="53">
                  <c:v>5.0922971972788781E-3</c:v>
                </c:pt>
                <c:pt idx="54">
                  <c:v>5.0901055212637606E-3</c:v>
                </c:pt>
                <c:pt idx="55">
                  <c:v>5.0910237984116442E-3</c:v>
                </c:pt>
                <c:pt idx="56">
                  <c:v>5.095052028722508E-3</c:v>
                </c:pt>
                <c:pt idx="57">
                  <c:v>5.1021902121963668E-3</c:v>
                </c:pt>
                <c:pt idx="58">
                  <c:v>5.1124383488332118E-3</c:v>
                </c:pt>
                <c:pt idx="59">
                  <c:v>5.1257964386330589E-3</c:v>
                </c:pt>
                <c:pt idx="60">
                  <c:v>5.1422644815958853E-3</c:v>
                </c:pt>
                <c:pt idx="61">
                  <c:v>5.1618424777217136E-3</c:v>
                </c:pt>
                <c:pt idx="62">
                  <c:v>5.1845304270105221E-3</c:v>
                </c:pt>
                <c:pt idx="63">
                  <c:v>5.2103283294623378E-3</c:v>
                </c:pt>
                <c:pt idx="64">
                  <c:v>5.2392361850771337E-3</c:v>
                </c:pt>
                <c:pt idx="65">
                  <c:v>5.2712539938549168E-3</c:v>
                </c:pt>
                <c:pt idx="66">
                  <c:v>5.306381755795701E-3</c:v>
                </c:pt>
                <c:pt idx="67">
                  <c:v>5.3446194708994732E-3</c:v>
                </c:pt>
                <c:pt idx="68">
                  <c:v>5.3859671391662395E-3</c:v>
                </c:pt>
                <c:pt idx="69">
                  <c:v>5.4304247605959921E-3</c:v>
                </c:pt>
                <c:pt idx="70">
                  <c:v>5.4779923351887388E-3</c:v>
                </c:pt>
                <c:pt idx="71">
                  <c:v>5.5286698629444728E-3</c:v>
                </c:pt>
                <c:pt idx="72">
                  <c:v>5.5824573438632025E-3</c:v>
                </c:pt>
                <c:pt idx="73">
                  <c:v>5.6393547779449247E-3</c:v>
                </c:pt>
                <c:pt idx="74">
                  <c:v>5.6993621651896271E-3</c:v>
                </c:pt>
                <c:pt idx="75">
                  <c:v>5.7624795055973375E-3</c:v>
                </c:pt>
                <c:pt idx="76">
                  <c:v>5.8287067991680281E-3</c:v>
                </c:pt>
                <c:pt idx="77">
                  <c:v>5.8980440459017137E-3</c:v>
                </c:pt>
                <c:pt idx="78">
                  <c:v>5.9704912457983934E-3</c:v>
                </c:pt>
                <c:pt idx="79">
                  <c:v>6.0460483988580664E-3</c:v>
                </c:pt>
                <c:pt idx="80">
                  <c:v>6.1247155050807196E-3</c:v>
                </c:pt>
              </c:numCache>
            </c:numRef>
          </c:val>
          <c:extLst>
            <c:ext xmlns:c16="http://schemas.microsoft.com/office/drawing/2014/chart" uri="{C3380CC4-5D6E-409C-BE32-E72D297353CC}">
              <c16:uniqueId val="{00000093-B0BD-44B6-BED5-7CDF3E877C37}"/>
            </c:ext>
          </c:extLst>
        </c:ser>
        <c:ser>
          <c:idx val="28"/>
          <c:order val="28"/>
          <c:tx>
            <c:strRef>
              <c:f>Interpolation!$S$31</c:f>
              <c:strCache>
                <c:ptCount val="1"/>
                <c:pt idx="0">
                  <c:v>32.8</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Interpolation!$T$31:$CV$31</c:f>
              <c:numCache>
                <c:formatCode>General</c:formatCode>
                <c:ptCount val="81"/>
                <c:pt idx="0">
                  <c:v>9.6398385373043707E-3</c:v>
                </c:pt>
                <c:pt idx="1">
                  <c:v>9.4727241130679787E-3</c:v>
                </c:pt>
                <c:pt idx="2">
                  <c:v>9.308719641994579E-3</c:v>
                </c:pt>
                <c:pt idx="3">
                  <c:v>9.1478251240841753E-3</c:v>
                </c:pt>
                <c:pt idx="4">
                  <c:v>8.9900405593367639E-3</c:v>
                </c:pt>
                <c:pt idx="5">
                  <c:v>8.8353659477523345E-3</c:v>
                </c:pt>
                <c:pt idx="6">
                  <c:v>8.6838012893308975E-3</c:v>
                </c:pt>
                <c:pt idx="7">
                  <c:v>8.5353465840724424E-3</c:v>
                </c:pt>
                <c:pt idx="8">
                  <c:v>8.3900018319769936E-3</c:v>
                </c:pt>
                <c:pt idx="9">
                  <c:v>8.2477670330445407E-3</c:v>
                </c:pt>
                <c:pt idx="10">
                  <c:v>8.1086421872750662E-3</c:v>
                </c:pt>
                <c:pt idx="11">
                  <c:v>7.9726272946685876E-3</c:v>
                </c:pt>
                <c:pt idx="12">
                  <c:v>7.8397223552251014E-3</c:v>
                </c:pt>
                <c:pt idx="13">
                  <c:v>7.7099273689446111E-3</c:v>
                </c:pt>
                <c:pt idx="14">
                  <c:v>7.5832423358271001E-3</c:v>
                </c:pt>
                <c:pt idx="15">
                  <c:v>7.4596672558725902E-3</c:v>
                </c:pt>
                <c:pt idx="16">
                  <c:v>7.3392021290810674E-3</c:v>
                </c:pt>
                <c:pt idx="17">
                  <c:v>7.2218469554525318E-3</c:v>
                </c:pt>
                <c:pt idx="18">
                  <c:v>7.1076017349869973E-3</c:v>
                </c:pt>
                <c:pt idx="19">
                  <c:v>6.99646646768445E-3</c:v>
                </c:pt>
                <c:pt idx="20">
                  <c:v>6.8884411535448898E-3</c:v>
                </c:pt>
                <c:pt idx="21">
                  <c:v>6.7835257925683307E-3</c:v>
                </c:pt>
                <c:pt idx="22">
                  <c:v>6.6817203847547588E-3</c:v>
                </c:pt>
                <c:pt idx="23">
                  <c:v>6.5830249301041741E-3</c:v>
                </c:pt>
                <c:pt idx="24">
                  <c:v>6.4874394286165834E-3</c:v>
                </c:pt>
                <c:pt idx="25">
                  <c:v>6.39496388029198E-3</c:v>
                </c:pt>
                <c:pt idx="26">
                  <c:v>6.3055982851303784E-3</c:v>
                </c:pt>
                <c:pt idx="27">
                  <c:v>6.2193426431317632E-3</c:v>
                </c:pt>
                <c:pt idx="28">
                  <c:v>6.1361969542961352E-3</c:v>
                </c:pt>
                <c:pt idx="29">
                  <c:v>6.0561612186235004E-3</c:v>
                </c:pt>
                <c:pt idx="30">
                  <c:v>5.9792354361138614E-3</c:v>
                </c:pt>
                <c:pt idx="31">
                  <c:v>5.9054196067672088E-3</c:v>
                </c:pt>
                <c:pt idx="32">
                  <c:v>5.8347137305835503E-3</c:v>
                </c:pt>
                <c:pt idx="33">
                  <c:v>5.767117807562879E-3</c:v>
                </c:pt>
                <c:pt idx="34">
                  <c:v>5.7026318377052018E-3</c:v>
                </c:pt>
                <c:pt idx="35">
                  <c:v>5.6412558210105187E-3</c:v>
                </c:pt>
                <c:pt idx="36">
                  <c:v>5.5829897574788227E-3</c:v>
                </c:pt>
                <c:pt idx="37">
                  <c:v>5.5278336471101209E-3</c:v>
                </c:pt>
                <c:pt idx="38">
                  <c:v>5.4757874899044132E-3</c:v>
                </c:pt>
                <c:pt idx="39">
                  <c:v>5.4268512858616927E-3</c:v>
                </c:pt>
                <c:pt idx="40">
                  <c:v>5.3810250349819594E-3</c:v>
                </c:pt>
                <c:pt idx="41">
                  <c:v>5.3383087372652202E-3</c:v>
                </c:pt>
                <c:pt idx="42">
                  <c:v>5.2987023927114751E-3</c:v>
                </c:pt>
                <c:pt idx="43">
                  <c:v>5.2622060013207241E-3</c:v>
                </c:pt>
                <c:pt idx="44">
                  <c:v>5.2288195630929603E-3</c:v>
                </c:pt>
                <c:pt idx="45">
                  <c:v>5.1985430780281906E-3</c:v>
                </c:pt>
                <c:pt idx="46">
                  <c:v>5.1713765461264081E-3</c:v>
                </c:pt>
                <c:pt idx="47">
                  <c:v>5.1473199673876206E-3</c:v>
                </c:pt>
                <c:pt idx="48">
                  <c:v>5.1263733418118254E-3</c:v>
                </c:pt>
                <c:pt idx="49">
                  <c:v>5.1085366693990192E-3</c:v>
                </c:pt>
                <c:pt idx="50">
                  <c:v>5.0938099501491993E-3</c:v>
                </c:pt>
                <c:pt idx="51">
                  <c:v>5.0821931840623804E-3</c:v>
                </c:pt>
                <c:pt idx="52">
                  <c:v>5.0736863711385487E-3</c:v>
                </c:pt>
                <c:pt idx="53">
                  <c:v>5.0682895113777042E-3</c:v>
                </c:pt>
                <c:pt idx="54">
                  <c:v>5.0660026047798529E-3</c:v>
                </c:pt>
                <c:pt idx="55">
                  <c:v>5.0668256513450045E-3</c:v>
                </c:pt>
                <c:pt idx="56">
                  <c:v>5.0707586510731345E-3</c:v>
                </c:pt>
                <c:pt idx="57">
                  <c:v>5.0778016039642604E-3</c:v>
                </c:pt>
                <c:pt idx="58">
                  <c:v>5.0879545100183717E-3</c:v>
                </c:pt>
                <c:pt idx="59">
                  <c:v>5.1012173692354858E-3</c:v>
                </c:pt>
                <c:pt idx="60">
                  <c:v>5.1175901816155793E-3</c:v>
                </c:pt>
                <c:pt idx="61">
                  <c:v>5.1370729471586739E-3</c:v>
                </c:pt>
                <c:pt idx="62">
                  <c:v>5.1596656658647495E-3</c:v>
                </c:pt>
                <c:pt idx="63">
                  <c:v>5.1853683377338314E-3</c:v>
                </c:pt>
                <c:pt idx="64">
                  <c:v>5.2141809627658953E-3</c:v>
                </c:pt>
                <c:pt idx="65">
                  <c:v>5.2461035409609447E-3</c:v>
                </c:pt>
                <c:pt idx="66">
                  <c:v>5.2811360723189959E-3</c:v>
                </c:pt>
                <c:pt idx="67">
                  <c:v>5.3192785568400344E-3</c:v>
                </c:pt>
                <c:pt idx="68">
                  <c:v>5.3605309945240669E-3</c:v>
                </c:pt>
                <c:pt idx="69">
                  <c:v>5.4048933853710866E-3</c:v>
                </c:pt>
                <c:pt idx="70">
                  <c:v>5.4523657293811005E-3</c:v>
                </c:pt>
                <c:pt idx="71">
                  <c:v>5.5029480265541015E-3</c:v>
                </c:pt>
                <c:pt idx="72">
                  <c:v>5.5566402768900975E-3</c:v>
                </c:pt>
                <c:pt idx="73">
                  <c:v>5.6134424803890868E-3</c:v>
                </c:pt>
                <c:pt idx="74">
                  <c:v>5.6733546370510562E-3</c:v>
                </c:pt>
                <c:pt idx="75">
                  <c:v>5.7363767468760329E-3</c:v>
                </c:pt>
                <c:pt idx="76">
                  <c:v>5.8025088098639915E-3</c:v>
                </c:pt>
                <c:pt idx="77">
                  <c:v>5.8717508260149424E-3</c:v>
                </c:pt>
                <c:pt idx="78">
                  <c:v>5.9441027953288893E-3</c:v>
                </c:pt>
                <c:pt idx="79">
                  <c:v>6.0195647178058285E-3</c:v>
                </c:pt>
                <c:pt idx="80">
                  <c:v>6.0981365934457497E-3</c:v>
                </c:pt>
              </c:numCache>
            </c:numRef>
          </c:val>
          <c:extLst>
            <c:ext xmlns:c16="http://schemas.microsoft.com/office/drawing/2014/chart" uri="{C3380CC4-5D6E-409C-BE32-E72D297353CC}">
              <c16:uniqueId val="{00000094-B0BD-44B6-BED5-7CDF3E877C37}"/>
            </c:ext>
          </c:extLst>
        </c:ser>
        <c:ser>
          <c:idx val="29"/>
          <c:order val="29"/>
          <c:tx>
            <c:strRef>
              <c:f>Interpolation!$S$32</c:f>
              <c:strCache>
                <c:ptCount val="1"/>
                <c:pt idx="0">
                  <c:v>32.9</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Interpolation!$T$32:$CV$32</c:f>
              <c:numCache>
                <c:formatCode>General</c:formatCode>
                <c:ptCount val="81"/>
                <c:pt idx="0">
                  <c:v>9.621778526014875E-3</c:v>
                </c:pt>
                <c:pt idx="1">
                  <c:v>9.4545688711957492E-3</c:v>
                </c:pt>
                <c:pt idx="2">
                  <c:v>9.2904691695396176E-3</c:v>
                </c:pt>
                <c:pt idx="3">
                  <c:v>9.12947942104648E-3</c:v>
                </c:pt>
                <c:pt idx="4">
                  <c:v>8.9715996257163366E-3</c:v>
                </c:pt>
                <c:pt idx="5">
                  <c:v>8.8168297835491734E-3</c:v>
                </c:pt>
                <c:pt idx="6">
                  <c:v>8.6651698945450027E-3</c:v>
                </c:pt>
                <c:pt idx="7">
                  <c:v>8.5166199587038138E-3</c:v>
                </c:pt>
                <c:pt idx="8">
                  <c:v>8.371179976025633E-3</c:v>
                </c:pt>
                <c:pt idx="9">
                  <c:v>8.2288499465104463E-3</c:v>
                </c:pt>
                <c:pt idx="10">
                  <c:v>8.0896298701582398E-3</c:v>
                </c:pt>
                <c:pt idx="11">
                  <c:v>7.9535197469690275E-3</c:v>
                </c:pt>
                <c:pt idx="12">
                  <c:v>7.8205195769428075E-3</c:v>
                </c:pt>
                <c:pt idx="13">
                  <c:v>7.6906293600795834E-3</c:v>
                </c:pt>
                <c:pt idx="14">
                  <c:v>7.5638490963793395E-3</c:v>
                </c:pt>
                <c:pt idx="15">
                  <c:v>7.4401787858420967E-3</c:v>
                </c:pt>
                <c:pt idx="16">
                  <c:v>7.319618428467841E-3</c:v>
                </c:pt>
                <c:pt idx="17">
                  <c:v>7.2021680242565717E-3</c:v>
                </c:pt>
                <c:pt idx="18">
                  <c:v>7.0878275732083043E-3</c:v>
                </c:pt>
                <c:pt idx="19">
                  <c:v>6.9765970753230232E-3</c:v>
                </c:pt>
                <c:pt idx="20">
                  <c:v>6.8684765306007301E-3</c:v>
                </c:pt>
                <c:pt idx="21">
                  <c:v>6.7634659390414381E-3</c:v>
                </c:pt>
                <c:pt idx="22">
                  <c:v>6.6615653006451333E-3</c:v>
                </c:pt>
                <c:pt idx="23">
                  <c:v>6.5627746154118148E-3</c:v>
                </c:pt>
                <c:pt idx="24">
                  <c:v>6.4670938833414912E-3</c:v>
                </c:pt>
                <c:pt idx="25">
                  <c:v>6.3745231044341549E-3</c:v>
                </c:pt>
                <c:pt idx="26">
                  <c:v>6.2850622786898187E-3</c:v>
                </c:pt>
                <c:pt idx="27">
                  <c:v>6.1987114061084706E-3</c:v>
                </c:pt>
                <c:pt idx="28">
                  <c:v>6.1154704866901097E-3</c:v>
                </c:pt>
                <c:pt idx="29">
                  <c:v>6.035339520434742E-3</c:v>
                </c:pt>
                <c:pt idx="30">
                  <c:v>5.9583185073423693E-3</c:v>
                </c:pt>
                <c:pt idx="31">
                  <c:v>5.8844074474129838E-3</c:v>
                </c:pt>
                <c:pt idx="32">
                  <c:v>5.8136063406465915E-3</c:v>
                </c:pt>
                <c:pt idx="33">
                  <c:v>5.7459151870431872E-3</c:v>
                </c:pt>
                <c:pt idx="34">
                  <c:v>5.6813339866027771E-3</c:v>
                </c:pt>
                <c:pt idx="35">
                  <c:v>5.6198627393253603E-3</c:v>
                </c:pt>
                <c:pt idx="36">
                  <c:v>5.5615014452109314E-3</c:v>
                </c:pt>
                <c:pt idx="37">
                  <c:v>5.5062501042594959E-3</c:v>
                </c:pt>
                <c:pt idx="38">
                  <c:v>5.4541087164710553E-3</c:v>
                </c:pt>
                <c:pt idx="39">
                  <c:v>5.4050772818456019E-3</c:v>
                </c:pt>
                <c:pt idx="40">
                  <c:v>5.3591558003831356E-3</c:v>
                </c:pt>
                <c:pt idx="41">
                  <c:v>5.3163442720836626E-3</c:v>
                </c:pt>
                <c:pt idx="42">
                  <c:v>5.2766426969471847E-3</c:v>
                </c:pt>
                <c:pt idx="43">
                  <c:v>5.2400510749737008E-3</c:v>
                </c:pt>
                <c:pt idx="44">
                  <c:v>5.2065694061632032E-3</c:v>
                </c:pt>
                <c:pt idx="45">
                  <c:v>5.1761976905157006E-3</c:v>
                </c:pt>
                <c:pt idx="46">
                  <c:v>5.1489359280311852E-3</c:v>
                </c:pt>
                <c:pt idx="47">
                  <c:v>5.1247841187096639E-3</c:v>
                </c:pt>
                <c:pt idx="48">
                  <c:v>5.1037422625511359E-3</c:v>
                </c:pt>
                <c:pt idx="49">
                  <c:v>5.0858103595555959E-3</c:v>
                </c:pt>
                <c:pt idx="50">
                  <c:v>5.0709884097230422E-3</c:v>
                </c:pt>
                <c:pt idx="51">
                  <c:v>5.0592764130534904E-3</c:v>
                </c:pt>
                <c:pt idx="52">
                  <c:v>5.0506743695469258E-3</c:v>
                </c:pt>
                <c:pt idx="53">
                  <c:v>5.0451822792033476E-3</c:v>
                </c:pt>
                <c:pt idx="54">
                  <c:v>5.0428001420227643E-3</c:v>
                </c:pt>
                <c:pt idx="55">
                  <c:v>5.043527958005182E-3</c:v>
                </c:pt>
                <c:pt idx="56">
                  <c:v>5.0473657271505792E-3</c:v>
                </c:pt>
                <c:pt idx="57">
                  <c:v>5.0543134494589713E-3</c:v>
                </c:pt>
                <c:pt idx="58">
                  <c:v>5.0643711249303506E-3</c:v>
                </c:pt>
                <c:pt idx="59">
                  <c:v>5.0775387535647309E-3</c:v>
                </c:pt>
                <c:pt idx="60">
                  <c:v>5.0938163353620915E-3</c:v>
                </c:pt>
                <c:pt idx="61">
                  <c:v>5.1132038703224523E-3</c:v>
                </c:pt>
                <c:pt idx="62">
                  <c:v>5.1357013584457933E-3</c:v>
                </c:pt>
                <c:pt idx="63">
                  <c:v>5.1613087997321432E-3</c:v>
                </c:pt>
                <c:pt idx="64">
                  <c:v>5.1900261941814733E-3</c:v>
                </c:pt>
                <c:pt idx="65">
                  <c:v>5.2218535417937898E-3</c:v>
                </c:pt>
                <c:pt idx="66">
                  <c:v>5.2567908425691081E-3</c:v>
                </c:pt>
                <c:pt idx="67">
                  <c:v>5.2948380965074128E-3</c:v>
                </c:pt>
                <c:pt idx="68">
                  <c:v>5.3359953036087125E-3</c:v>
                </c:pt>
                <c:pt idx="69">
                  <c:v>5.3802624638729993E-3</c:v>
                </c:pt>
                <c:pt idx="70">
                  <c:v>5.4276395773002802E-3</c:v>
                </c:pt>
                <c:pt idx="71">
                  <c:v>5.4781266438905483E-3</c:v>
                </c:pt>
                <c:pt idx="72">
                  <c:v>5.5317236636438106E-3</c:v>
                </c:pt>
                <c:pt idx="73">
                  <c:v>5.5884306365600661E-3</c:v>
                </c:pt>
                <c:pt idx="74">
                  <c:v>5.6482475626393027E-3</c:v>
                </c:pt>
                <c:pt idx="75">
                  <c:v>5.7111744418815464E-3</c:v>
                </c:pt>
                <c:pt idx="76">
                  <c:v>5.7772112742867712E-3</c:v>
                </c:pt>
                <c:pt idx="77">
                  <c:v>5.8463580598549902E-3</c:v>
                </c:pt>
                <c:pt idx="78">
                  <c:v>5.9186147985862024E-3</c:v>
                </c:pt>
                <c:pt idx="79">
                  <c:v>5.9939814904804087E-3</c:v>
                </c:pt>
                <c:pt idx="80">
                  <c:v>6.0724581355375961E-3</c:v>
                </c:pt>
              </c:numCache>
            </c:numRef>
          </c:val>
          <c:extLst>
            <c:ext xmlns:c16="http://schemas.microsoft.com/office/drawing/2014/chart" uri="{C3380CC4-5D6E-409C-BE32-E72D297353CC}">
              <c16:uniqueId val="{00000095-B0BD-44B6-BED5-7CDF3E877C37}"/>
            </c:ext>
          </c:extLst>
        </c:ser>
        <c:ser>
          <c:idx val="30"/>
          <c:order val="30"/>
          <c:tx>
            <c:strRef>
              <c:f>Interpolation!$S$33</c:f>
              <c:strCache>
                <c:ptCount val="1"/>
                <c:pt idx="0">
                  <c:v>33</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Interpolation!$T$33:$CV$33</c:f>
              <c:numCache>
                <c:formatCode>General</c:formatCode>
                <c:ptCount val="81"/>
                <c:pt idx="0">
                  <c:v>9.6046189684521992E-3</c:v>
                </c:pt>
                <c:pt idx="1">
                  <c:v>9.4373140830503396E-3</c:v>
                </c:pt>
                <c:pt idx="2">
                  <c:v>9.2731191508114742E-3</c:v>
                </c:pt>
                <c:pt idx="3">
                  <c:v>9.1120341717356029E-3</c:v>
                </c:pt>
                <c:pt idx="4">
                  <c:v>8.9540591458227257E-3</c:v>
                </c:pt>
                <c:pt idx="5">
                  <c:v>8.7991940730728288E-3</c:v>
                </c:pt>
                <c:pt idx="6">
                  <c:v>8.647438953485926E-3</c:v>
                </c:pt>
                <c:pt idx="7">
                  <c:v>8.4987937870620034E-3</c:v>
                </c:pt>
                <c:pt idx="8">
                  <c:v>8.3532585738010905E-3</c:v>
                </c:pt>
                <c:pt idx="9">
                  <c:v>8.2108333137031701E-3</c:v>
                </c:pt>
                <c:pt idx="10">
                  <c:v>8.0715180067682298E-3</c:v>
                </c:pt>
                <c:pt idx="11">
                  <c:v>7.9353126529962837E-3</c:v>
                </c:pt>
                <c:pt idx="12">
                  <c:v>7.8022172523873326E-3</c:v>
                </c:pt>
                <c:pt idx="13">
                  <c:v>7.6722318049413747E-3</c:v>
                </c:pt>
                <c:pt idx="14">
                  <c:v>7.545356310658397E-3</c:v>
                </c:pt>
                <c:pt idx="15">
                  <c:v>7.4215907695384213E-3</c:v>
                </c:pt>
                <c:pt idx="16">
                  <c:v>7.3009351815814319E-3</c:v>
                </c:pt>
                <c:pt idx="17">
                  <c:v>7.1833895467874297E-3</c:v>
                </c:pt>
                <c:pt idx="18">
                  <c:v>7.0689538651564285E-3</c:v>
                </c:pt>
                <c:pt idx="19">
                  <c:v>6.9576281366884154E-3</c:v>
                </c:pt>
                <c:pt idx="20">
                  <c:v>6.8494123613833885E-3</c:v>
                </c:pt>
                <c:pt idx="21">
                  <c:v>6.7443065392413628E-3</c:v>
                </c:pt>
                <c:pt idx="22">
                  <c:v>6.642310670262325E-3</c:v>
                </c:pt>
                <c:pt idx="23">
                  <c:v>6.5434247544462736E-3</c:v>
                </c:pt>
                <c:pt idx="24">
                  <c:v>6.4476487917932163E-3</c:v>
                </c:pt>
                <c:pt idx="25">
                  <c:v>6.3549827823031471E-3</c:v>
                </c:pt>
                <c:pt idx="26">
                  <c:v>6.265426725976078E-3</c:v>
                </c:pt>
                <c:pt idx="27">
                  <c:v>6.1789806228119961E-3</c:v>
                </c:pt>
                <c:pt idx="28">
                  <c:v>6.0956444728109014E-3</c:v>
                </c:pt>
                <c:pt idx="29">
                  <c:v>6.0154182759728017E-3</c:v>
                </c:pt>
                <c:pt idx="30">
                  <c:v>5.9383020322976952E-3</c:v>
                </c:pt>
                <c:pt idx="31">
                  <c:v>5.8642957417855759E-3</c:v>
                </c:pt>
                <c:pt idx="32">
                  <c:v>5.7933994044364516E-3</c:v>
                </c:pt>
                <c:pt idx="33">
                  <c:v>5.7256130202503136E-3</c:v>
                </c:pt>
                <c:pt idx="34">
                  <c:v>5.6609365892271698E-3</c:v>
                </c:pt>
                <c:pt idx="35">
                  <c:v>5.5993701113670209E-3</c:v>
                </c:pt>
                <c:pt idx="36">
                  <c:v>5.5409135866698583E-3</c:v>
                </c:pt>
                <c:pt idx="37">
                  <c:v>5.4855670151356898E-3</c:v>
                </c:pt>
                <c:pt idx="38">
                  <c:v>5.4333303967645154E-3</c:v>
                </c:pt>
                <c:pt idx="39">
                  <c:v>5.3842037315563291E-3</c:v>
                </c:pt>
                <c:pt idx="40">
                  <c:v>5.3381870195111291E-3</c:v>
                </c:pt>
                <c:pt idx="41">
                  <c:v>5.2952802606289241E-3</c:v>
                </c:pt>
                <c:pt idx="42">
                  <c:v>5.2554834549097124E-3</c:v>
                </c:pt>
                <c:pt idx="43">
                  <c:v>5.2187966023534947E-3</c:v>
                </c:pt>
                <c:pt idx="44">
                  <c:v>5.1852197029602642E-3</c:v>
                </c:pt>
                <c:pt idx="45">
                  <c:v>5.1547527567300279E-3</c:v>
                </c:pt>
                <c:pt idx="46">
                  <c:v>5.1273957636627796E-3</c:v>
                </c:pt>
                <c:pt idx="47">
                  <c:v>5.1031487237585245E-3</c:v>
                </c:pt>
                <c:pt idx="48">
                  <c:v>5.0820116370172645E-3</c:v>
                </c:pt>
                <c:pt idx="49">
                  <c:v>5.0639845034389907E-3</c:v>
                </c:pt>
                <c:pt idx="50">
                  <c:v>5.0490673230237041E-3</c:v>
                </c:pt>
                <c:pt idx="51">
                  <c:v>5.0372600957714186E-3</c:v>
                </c:pt>
                <c:pt idx="52">
                  <c:v>5.0285628216821211E-3</c:v>
                </c:pt>
                <c:pt idx="53">
                  <c:v>5.0229755007558099E-3</c:v>
                </c:pt>
                <c:pt idx="54">
                  <c:v>5.0204981329924929E-3</c:v>
                </c:pt>
                <c:pt idx="55">
                  <c:v>5.0211307183921777E-3</c:v>
                </c:pt>
                <c:pt idx="56">
                  <c:v>5.024873256954842E-3</c:v>
                </c:pt>
                <c:pt idx="57">
                  <c:v>5.0317257486805003E-3</c:v>
                </c:pt>
                <c:pt idx="58">
                  <c:v>5.0416881935691459E-3</c:v>
                </c:pt>
                <c:pt idx="59">
                  <c:v>5.0547605916207933E-3</c:v>
                </c:pt>
                <c:pt idx="60">
                  <c:v>5.070942942835421E-3</c:v>
                </c:pt>
                <c:pt idx="61">
                  <c:v>5.0902352472130489E-3</c:v>
                </c:pt>
                <c:pt idx="62">
                  <c:v>5.112637504753657E-3</c:v>
                </c:pt>
                <c:pt idx="63">
                  <c:v>5.1381497154572731E-3</c:v>
                </c:pt>
                <c:pt idx="64">
                  <c:v>5.1667718793238695E-3</c:v>
                </c:pt>
                <c:pt idx="65">
                  <c:v>5.198503996353453E-3</c:v>
                </c:pt>
                <c:pt idx="66">
                  <c:v>5.2333460665460376E-3</c:v>
                </c:pt>
                <c:pt idx="67">
                  <c:v>5.2712980899016102E-3</c:v>
                </c:pt>
                <c:pt idx="68">
                  <c:v>5.312360066420177E-3</c:v>
                </c:pt>
                <c:pt idx="69">
                  <c:v>5.3565319961017301E-3</c:v>
                </c:pt>
                <c:pt idx="70">
                  <c:v>5.4038138789462772E-3</c:v>
                </c:pt>
                <c:pt idx="71">
                  <c:v>5.4542057149538116E-3</c:v>
                </c:pt>
                <c:pt idx="72">
                  <c:v>5.5077075041243409E-3</c:v>
                </c:pt>
                <c:pt idx="73">
                  <c:v>5.5643192464578644E-3</c:v>
                </c:pt>
                <c:pt idx="74">
                  <c:v>5.6240409419543672E-3</c:v>
                </c:pt>
                <c:pt idx="75">
                  <c:v>5.6868725906138781E-3</c:v>
                </c:pt>
                <c:pt idx="76">
                  <c:v>5.7528141924363691E-3</c:v>
                </c:pt>
                <c:pt idx="77">
                  <c:v>5.8218657474218543E-3</c:v>
                </c:pt>
                <c:pt idx="78">
                  <c:v>5.8940272555703336E-3</c:v>
                </c:pt>
                <c:pt idx="79">
                  <c:v>5.9692987168818079E-3</c:v>
                </c:pt>
                <c:pt idx="80">
                  <c:v>6.0476801313562615E-3</c:v>
                </c:pt>
              </c:numCache>
            </c:numRef>
          </c:val>
          <c:extLst>
            <c:ext xmlns:c16="http://schemas.microsoft.com/office/drawing/2014/chart" uri="{C3380CC4-5D6E-409C-BE32-E72D297353CC}">
              <c16:uniqueId val="{00000096-B0BD-44B6-BED5-7CDF3E877C37}"/>
            </c:ext>
          </c:extLst>
        </c:ser>
        <c:ser>
          <c:idx val="31"/>
          <c:order val="31"/>
          <c:tx>
            <c:strRef>
              <c:f>Interpolation!$S$34</c:f>
              <c:strCache>
                <c:ptCount val="1"/>
                <c:pt idx="0">
                  <c:v>33.1</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Interpolation!$T$34:$CV$34</c:f>
              <c:numCache>
                <c:formatCode>General</c:formatCode>
                <c:ptCount val="81"/>
                <c:pt idx="0">
                  <c:v>9.5883598646163328E-3</c:v>
                </c:pt>
                <c:pt idx="1">
                  <c:v>9.4209597486317395E-3</c:v>
                </c:pt>
                <c:pt idx="2">
                  <c:v>9.2566695858101421E-3</c:v>
                </c:pt>
                <c:pt idx="3">
                  <c:v>9.095489376151537E-3</c:v>
                </c:pt>
                <c:pt idx="4">
                  <c:v>8.9374191196559261E-3</c:v>
                </c:pt>
                <c:pt idx="5">
                  <c:v>8.7824588163232971E-3</c:v>
                </c:pt>
                <c:pt idx="6">
                  <c:v>8.6306084661536605E-3</c:v>
                </c:pt>
                <c:pt idx="7">
                  <c:v>8.4818680691470059E-3</c:v>
                </c:pt>
                <c:pt idx="8">
                  <c:v>8.3362376253033575E-3</c:v>
                </c:pt>
                <c:pt idx="9">
                  <c:v>8.193717134622705E-3</c:v>
                </c:pt>
                <c:pt idx="10">
                  <c:v>8.054306597105031E-3</c:v>
                </c:pt>
                <c:pt idx="11">
                  <c:v>7.9180060127503529E-3</c:v>
                </c:pt>
                <c:pt idx="12">
                  <c:v>7.7848153815586671E-3</c:v>
                </c:pt>
                <c:pt idx="13">
                  <c:v>7.6547347035299763E-3</c:v>
                </c:pt>
                <c:pt idx="14">
                  <c:v>7.5277639786642658E-3</c:v>
                </c:pt>
                <c:pt idx="15">
                  <c:v>7.4039032069615563E-3</c:v>
                </c:pt>
                <c:pt idx="16">
                  <c:v>7.283152388421834E-3</c:v>
                </c:pt>
                <c:pt idx="17">
                  <c:v>7.1655115230450988E-3</c:v>
                </c:pt>
                <c:pt idx="18">
                  <c:v>7.0509806108313648E-3</c:v>
                </c:pt>
                <c:pt idx="19">
                  <c:v>6.9395596517806179E-3</c:v>
                </c:pt>
                <c:pt idx="20">
                  <c:v>6.8312486458928581E-3</c:v>
                </c:pt>
                <c:pt idx="21">
                  <c:v>6.7260475931680995E-3</c:v>
                </c:pt>
                <c:pt idx="22">
                  <c:v>6.623956493606328E-3</c:v>
                </c:pt>
                <c:pt idx="23">
                  <c:v>6.5249753472075428E-3</c:v>
                </c:pt>
                <c:pt idx="24">
                  <c:v>6.4291041539717535E-3</c:v>
                </c:pt>
                <c:pt idx="25">
                  <c:v>6.3363429138989505E-3</c:v>
                </c:pt>
                <c:pt idx="26">
                  <c:v>6.2466916269891485E-3</c:v>
                </c:pt>
                <c:pt idx="27">
                  <c:v>6.1601502932423328E-3</c:v>
                </c:pt>
                <c:pt idx="28">
                  <c:v>6.0767189126585052E-3</c:v>
                </c:pt>
                <c:pt idx="29">
                  <c:v>5.9963974852376718E-3</c:v>
                </c:pt>
                <c:pt idx="30">
                  <c:v>5.9191860109798324E-3</c:v>
                </c:pt>
                <c:pt idx="31">
                  <c:v>5.8450844898849802E-3</c:v>
                </c:pt>
                <c:pt idx="32">
                  <c:v>5.7740929219531221E-3</c:v>
                </c:pt>
                <c:pt idx="33">
                  <c:v>5.7062113071842512E-3</c:v>
                </c:pt>
                <c:pt idx="34">
                  <c:v>5.6414396455783744E-3</c:v>
                </c:pt>
                <c:pt idx="35">
                  <c:v>5.5797779371354918E-3</c:v>
                </c:pt>
                <c:pt idx="36">
                  <c:v>5.5212261818555963E-3</c:v>
                </c:pt>
                <c:pt idx="37">
                  <c:v>5.4657843797386949E-3</c:v>
                </c:pt>
                <c:pt idx="38">
                  <c:v>5.4134525307847877E-3</c:v>
                </c:pt>
                <c:pt idx="39">
                  <c:v>5.3642306349938676E-3</c:v>
                </c:pt>
                <c:pt idx="40">
                  <c:v>5.3181186923659338E-3</c:v>
                </c:pt>
                <c:pt idx="41">
                  <c:v>5.2751167029009959E-3</c:v>
                </c:pt>
                <c:pt idx="42">
                  <c:v>5.2352246665990504E-3</c:v>
                </c:pt>
                <c:pt idx="43">
                  <c:v>5.1984425834601007E-3</c:v>
                </c:pt>
                <c:pt idx="44">
                  <c:v>5.1647704534841365E-3</c:v>
                </c:pt>
                <c:pt idx="45">
                  <c:v>5.1342082766711672E-3</c:v>
                </c:pt>
                <c:pt idx="46">
                  <c:v>5.1067560530211852E-3</c:v>
                </c:pt>
                <c:pt idx="47">
                  <c:v>5.0824137825341972E-3</c:v>
                </c:pt>
                <c:pt idx="48">
                  <c:v>5.0611814652102034E-3</c:v>
                </c:pt>
                <c:pt idx="49">
                  <c:v>5.0430591010491967E-3</c:v>
                </c:pt>
                <c:pt idx="50">
                  <c:v>5.0280466900511772E-3</c:v>
                </c:pt>
                <c:pt idx="51">
                  <c:v>5.0161442322161588E-3</c:v>
                </c:pt>
                <c:pt idx="52">
                  <c:v>5.0073517275441275E-3</c:v>
                </c:pt>
                <c:pt idx="53">
                  <c:v>5.0016691760350826E-3</c:v>
                </c:pt>
                <c:pt idx="54">
                  <c:v>4.9990965776890335E-3</c:v>
                </c:pt>
                <c:pt idx="55">
                  <c:v>4.9996339325059837E-3</c:v>
                </c:pt>
                <c:pt idx="56">
                  <c:v>5.0032812404859151E-3</c:v>
                </c:pt>
                <c:pt idx="57">
                  <c:v>5.0100385016288405E-3</c:v>
                </c:pt>
                <c:pt idx="58">
                  <c:v>5.0199057159347532E-3</c:v>
                </c:pt>
                <c:pt idx="59">
                  <c:v>5.0328828834036669E-3</c:v>
                </c:pt>
                <c:pt idx="60">
                  <c:v>5.0489700040355617E-3</c:v>
                </c:pt>
                <c:pt idx="61">
                  <c:v>5.0681670778304558E-3</c:v>
                </c:pt>
                <c:pt idx="62">
                  <c:v>5.0904741047883319E-3</c:v>
                </c:pt>
                <c:pt idx="63">
                  <c:v>5.1158910849092142E-3</c:v>
                </c:pt>
                <c:pt idx="64">
                  <c:v>5.1444180181930777E-3</c:v>
                </c:pt>
                <c:pt idx="65">
                  <c:v>5.1760549046399283E-3</c:v>
                </c:pt>
                <c:pt idx="66">
                  <c:v>5.2108017442497791E-3</c:v>
                </c:pt>
                <c:pt idx="67">
                  <c:v>5.2486585370226189E-3</c:v>
                </c:pt>
                <c:pt idx="68">
                  <c:v>5.289625282958451E-3</c:v>
                </c:pt>
                <c:pt idx="69">
                  <c:v>5.333701982057272E-3</c:v>
                </c:pt>
                <c:pt idx="70">
                  <c:v>5.3808886343190854E-3</c:v>
                </c:pt>
                <c:pt idx="71">
                  <c:v>5.4311852397438878E-3</c:v>
                </c:pt>
                <c:pt idx="72">
                  <c:v>5.4845917983316825E-3</c:v>
                </c:pt>
                <c:pt idx="73">
                  <c:v>5.541108310082473E-3</c:v>
                </c:pt>
                <c:pt idx="74">
                  <c:v>5.6007347749962421E-3</c:v>
                </c:pt>
                <c:pt idx="75">
                  <c:v>5.66347119307302E-3</c:v>
                </c:pt>
                <c:pt idx="76">
                  <c:v>5.7293175643127782E-3</c:v>
                </c:pt>
                <c:pt idx="77">
                  <c:v>5.7982738887155305E-3</c:v>
                </c:pt>
                <c:pt idx="78">
                  <c:v>5.8703401662812769E-3</c:v>
                </c:pt>
                <c:pt idx="79">
                  <c:v>5.9455163970100174E-3</c:v>
                </c:pt>
                <c:pt idx="80">
                  <c:v>6.0238025809017381E-3</c:v>
                </c:pt>
              </c:numCache>
            </c:numRef>
          </c:val>
          <c:extLst>
            <c:ext xmlns:c16="http://schemas.microsoft.com/office/drawing/2014/chart" uri="{C3380CC4-5D6E-409C-BE32-E72D297353CC}">
              <c16:uniqueId val="{00000097-B0BD-44B6-BED5-7CDF3E877C37}"/>
            </c:ext>
          </c:extLst>
        </c:ser>
        <c:ser>
          <c:idx val="32"/>
          <c:order val="32"/>
          <c:tx>
            <c:strRef>
              <c:f>Interpolation!$S$35</c:f>
              <c:strCache>
                <c:ptCount val="1"/>
                <c:pt idx="0">
                  <c:v>33.2</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Interpolation!$T$35:$CV$35</c:f>
              <c:numCache>
                <c:formatCode>General</c:formatCode>
                <c:ptCount val="81"/>
                <c:pt idx="0">
                  <c:v>9.5730012145072828E-3</c:v>
                </c:pt>
                <c:pt idx="1">
                  <c:v>9.4055058679399575E-3</c:v>
                </c:pt>
                <c:pt idx="2">
                  <c:v>9.2411204745356263E-3</c:v>
                </c:pt>
                <c:pt idx="3">
                  <c:v>9.0798450342942875E-3</c:v>
                </c:pt>
                <c:pt idx="4">
                  <c:v>8.9216795472159445E-3</c:v>
                </c:pt>
                <c:pt idx="5">
                  <c:v>8.7666240133005818E-3</c:v>
                </c:pt>
                <c:pt idx="6">
                  <c:v>8.6146784325482131E-3</c:v>
                </c:pt>
                <c:pt idx="7">
                  <c:v>8.465842804958823E-3</c:v>
                </c:pt>
                <c:pt idx="8">
                  <c:v>8.3201171305324426E-3</c:v>
                </c:pt>
                <c:pt idx="9">
                  <c:v>8.1775014092690564E-3</c:v>
                </c:pt>
                <c:pt idx="10">
                  <c:v>8.0379956411686486E-3</c:v>
                </c:pt>
                <c:pt idx="11">
                  <c:v>7.9015998262312367E-3</c:v>
                </c:pt>
                <c:pt idx="12">
                  <c:v>7.7683139644568189E-3</c:v>
                </c:pt>
                <c:pt idx="13">
                  <c:v>7.6381380558453943E-3</c:v>
                </c:pt>
                <c:pt idx="14">
                  <c:v>7.5110721003969509E-3</c:v>
                </c:pt>
                <c:pt idx="15">
                  <c:v>7.3871160981115076E-3</c:v>
                </c:pt>
                <c:pt idx="16">
                  <c:v>7.2662700489890524E-3</c:v>
                </c:pt>
                <c:pt idx="17">
                  <c:v>7.1485339530295835E-3</c:v>
                </c:pt>
                <c:pt idx="18">
                  <c:v>7.0339078102331165E-3</c:v>
                </c:pt>
                <c:pt idx="19">
                  <c:v>6.9223916205996359E-3</c:v>
                </c:pt>
                <c:pt idx="20">
                  <c:v>6.8139853841291433E-3</c:v>
                </c:pt>
                <c:pt idx="21">
                  <c:v>6.7086891008216508E-3</c:v>
                </c:pt>
                <c:pt idx="22">
                  <c:v>6.6065027706771456E-3</c:v>
                </c:pt>
                <c:pt idx="23">
                  <c:v>6.5074263936956284E-3</c:v>
                </c:pt>
                <c:pt idx="24">
                  <c:v>6.4114599698771044E-3</c:v>
                </c:pt>
                <c:pt idx="25">
                  <c:v>6.3186034992215685E-3</c:v>
                </c:pt>
                <c:pt idx="26">
                  <c:v>6.2288569817290328E-3</c:v>
                </c:pt>
                <c:pt idx="27">
                  <c:v>6.1422204173994851E-3</c:v>
                </c:pt>
                <c:pt idx="28">
                  <c:v>6.0586938062329237E-3</c:v>
                </c:pt>
                <c:pt idx="29">
                  <c:v>5.9782771482293565E-3</c:v>
                </c:pt>
                <c:pt idx="30">
                  <c:v>5.9009704433887842E-3</c:v>
                </c:pt>
                <c:pt idx="31">
                  <c:v>5.8267736917111991E-3</c:v>
                </c:pt>
                <c:pt idx="32">
                  <c:v>5.7556868931966073E-3</c:v>
                </c:pt>
                <c:pt idx="33">
                  <c:v>5.6877100478450026E-3</c:v>
                </c:pt>
                <c:pt idx="34">
                  <c:v>5.6228431556563929E-3</c:v>
                </c:pt>
                <c:pt idx="35">
                  <c:v>5.5610862166307765E-3</c:v>
                </c:pt>
                <c:pt idx="36">
                  <c:v>5.5024392307681481E-3</c:v>
                </c:pt>
                <c:pt idx="37">
                  <c:v>5.446902198068513E-3</c:v>
                </c:pt>
                <c:pt idx="38">
                  <c:v>5.3944751185318728E-3</c:v>
                </c:pt>
                <c:pt idx="39">
                  <c:v>5.345157992158219E-3</c:v>
                </c:pt>
                <c:pt idx="40">
                  <c:v>5.2989508189475523E-3</c:v>
                </c:pt>
                <c:pt idx="41">
                  <c:v>5.2558535988998806E-3</c:v>
                </c:pt>
                <c:pt idx="42">
                  <c:v>5.2158663320152031E-3</c:v>
                </c:pt>
                <c:pt idx="43">
                  <c:v>5.1789890182935188E-3</c:v>
                </c:pt>
                <c:pt idx="44">
                  <c:v>5.1452216577348216E-3</c:v>
                </c:pt>
                <c:pt idx="45">
                  <c:v>5.1145642503391195E-3</c:v>
                </c:pt>
                <c:pt idx="46">
                  <c:v>5.0870167961064037E-3</c:v>
                </c:pt>
                <c:pt idx="47">
                  <c:v>5.0625792950366828E-3</c:v>
                </c:pt>
                <c:pt idx="48">
                  <c:v>5.0412517471299552E-3</c:v>
                </c:pt>
                <c:pt idx="49">
                  <c:v>5.0230341523862156E-3</c:v>
                </c:pt>
                <c:pt idx="50">
                  <c:v>5.0079265108054624E-3</c:v>
                </c:pt>
                <c:pt idx="51">
                  <c:v>4.9959288223877111E-3</c:v>
                </c:pt>
                <c:pt idx="52">
                  <c:v>4.987041087132946E-3</c:v>
                </c:pt>
                <c:pt idx="53">
                  <c:v>4.9812633050411691E-3</c:v>
                </c:pt>
                <c:pt idx="54">
                  <c:v>4.9785954761123853E-3</c:v>
                </c:pt>
                <c:pt idx="55">
                  <c:v>4.9790376003466027E-3</c:v>
                </c:pt>
                <c:pt idx="56">
                  <c:v>4.9825896777438011E-3</c:v>
                </c:pt>
                <c:pt idx="57">
                  <c:v>4.9892517083039928E-3</c:v>
                </c:pt>
                <c:pt idx="58">
                  <c:v>4.9990236920271717E-3</c:v>
                </c:pt>
                <c:pt idx="59">
                  <c:v>5.0119056289133525E-3</c:v>
                </c:pt>
                <c:pt idx="60">
                  <c:v>5.0278975189625135E-3</c:v>
                </c:pt>
                <c:pt idx="61">
                  <c:v>5.0469993621746756E-3</c:v>
                </c:pt>
                <c:pt idx="62">
                  <c:v>5.0692111585498171E-3</c:v>
                </c:pt>
                <c:pt idx="63">
                  <c:v>5.0945329080879665E-3</c:v>
                </c:pt>
                <c:pt idx="64">
                  <c:v>5.1229646107890971E-3</c:v>
                </c:pt>
                <c:pt idx="65">
                  <c:v>5.1545062666532131E-3</c:v>
                </c:pt>
                <c:pt idx="66">
                  <c:v>5.1891578756803319E-3</c:v>
                </c:pt>
                <c:pt idx="67">
                  <c:v>5.2269194378704378E-3</c:v>
                </c:pt>
                <c:pt idx="68">
                  <c:v>5.2677909532235371E-3</c:v>
                </c:pt>
                <c:pt idx="69">
                  <c:v>5.3117724217396235E-3</c:v>
                </c:pt>
                <c:pt idx="70">
                  <c:v>5.3588638434187048E-3</c:v>
                </c:pt>
                <c:pt idx="71">
                  <c:v>5.4090652182607734E-3</c:v>
                </c:pt>
                <c:pt idx="72">
                  <c:v>5.4623765462658361E-3</c:v>
                </c:pt>
                <c:pt idx="73">
                  <c:v>5.518797827433892E-3</c:v>
                </c:pt>
                <c:pt idx="74">
                  <c:v>5.5783290617649282E-3</c:v>
                </c:pt>
                <c:pt idx="75">
                  <c:v>5.6409702492589732E-3</c:v>
                </c:pt>
                <c:pt idx="76">
                  <c:v>5.7067213899159976E-3</c:v>
                </c:pt>
                <c:pt idx="77">
                  <c:v>5.7755824837360161E-3</c:v>
                </c:pt>
                <c:pt idx="78">
                  <c:v>5.8475535307190296E-3</c:v>
                </c:pt>
                <c:pt idx="79">
                  <c:v>5.9226345308650364E-3</c:v>
                </c:pt>
                <c:pt idx="80">
                  <c:v>6.0008254841740234E-3</c:v>
                </c:pt>
              </c:numCache>
            </c:numRef>
          </c:val>
          <c:extLst>
            <c:ext xmlns:c16="http://schemas.microsoft.com/office/drawing/2014/chart" uri="{C3380CC4-5D6E-409C-BE32-E72D297353CC}">
              <c16:uniqueId val="{00000098-B0BD-44B6-BED5-7CDF3E877C37}"/>
            </c:ext>
          </c:extLst>
        </c:ser>
        <c:ser>
          <c:idx val="33"/>
          <c:order val="33"/>
          <c:tx>
            <c:strRef>
              <c:f>Interpolation!$S$36</c:f>
              <c:strCache>
                <c:ptCount val="1"/>
                <c:pt idx="0">
                  <c:v>33.3</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Interpolation!$T$36:$CV$36</c:f>
              <c:numCache>
                <c:formatCode>General</c:formatCode>
                <c:ptCount val="81"/>
                <c:pt idx="0">
                  <c:v>9.5585430181250684E-3</c:v>
                </c:pt>
                <c:pt idx="1">
                  <c:v>9.3909524409750093E-3</c:v>
                </c:pt>
                <c:pt idx="2">
                  <c:v>9.2264718169879443E-3</c:v>
                </c:pt>
                <c:pt idx="3">
                  <c:v>9.0651011461638734E-3</c:v>
                </c:pt>
                <c:pt idx="4">
                  <c:v>8.9068404285027967E-3</c:v>
                </c:pt>
                <c:pt idx="5">
                  <c:v>8.7516896640047019E-3</c:v>
                </c:pt>
                <c:pt idx="6">
                  <c:v>8.5996488526695995E-3</c:v>
                </c:pt>
                <c:pt idx="7">
                  <c:v>8.4507179944974774E-3</c:v>
                </c:pt>
                <c:pt idx="8">
                  <c:v>8.3048970894883632E-3</c:v>
                </c:pt>
                <c:pt idx="9">
                  <c:v>8.1621861376422432E-3</c:v>
                </c:pt>
                <c:pt idx="10">
                  <c:v>8.0225851389591034E-3</c:v>
                </c:pt>
                <c:pt idx="11">
                  <c:v>7.8860940934389577E-3</c:v>
                </c:pt>
                <c:pt idx="12">
                  <c:v>7.7527130010818061E-3</c:v>
                </c:pt>
                <c:pt idx="13">
                  <c:v>7.6224418618876487E-3</c:v>
                </c:pt>
                <c:pt idx="14">
                  <c:v>7.4952806758564723E-3</c:v>
                </c:pt>
                <c:pt idx="15">
                  <c:v>7.3712294429882962E-3</c:v>
                </c:pt>
                <c:pt idx="16">
                  <c:v>7.2502881632831072E-3</c:v>
                </c:pt>
                <c:pt idx="17">
                  <c:v>7.1324568367409054E-3</c:v>
                </c:pt>
                <c:pt idx="18">
                  <c:v>7.0177354633617055E-3</c:v>
                </c:pt>
                <c:pt idx="19">
                  <c:v>6.906124043145492E-3</c:v>
                </c:pt>
                <c:pt idx="20">
                  <c:v>6.7976225760922656E-3</c:v>
                </c:pt>
                <c:pt idx="21">
                  <c:v>6.6922310622020403E-3</c:v>
                </c:pt>
                <c:pt idx="22">
                  <c:v>6.5899495014748021E-3</c:v>
                </c:pt>
                <c:pt idx="23">
                  <c:v>6.4907778939105511E-3</c:v>
                </c:pt>
                <c:pt idx="24">
                  <c:v>6.3947162395092943E-3</c:v>
                </c:pt>
                <c:pt idx="25">
                  <c:v>6.3017645382710255E-3</c:v>
                </c:pt>
                <c:pt idx="26">
                  <c:v>6.2119227901957568E-3</c:v>
                </c:pt>
                <c:pt idx="27">
                  <c:v>6.1251909952834763E-3</c:v>
                </c:pt>
                <c:pt idx="28">
                  <c:v>6.041569153534182E-3</c:v>
                </c:pt>
                <c:pt idx="29">
                  <c:v>5.9610572649478819E-3</c:v>
                </c:pt>
                <c:pt idx="30">
                  <c:v>5.8836553295245758E-3</c:v>
                </c:pt>
                <c:pt idx="31">
                  <c:v>5.809363347264257E-3</c:v>
                </c:pt>
                <c:pt idx="32">
                  <c:v>5.7381813181669322E-3</c:v>
                </c:pt>
                <c:pt idx="33">
                  <c:v>5.6701092422325947E-3</c:v>
                </c:pt>
                <c:pt idx="34">
                  <c:v>5.6051471194612521E-3</c:v>
                </c:pt>
                <c:pt idx="35">
                  <c:v>5.5432949498529028E-3</c:v>
                </c:pt>
                <c:pt idx="36">
                  <c:v>5.4845527334075406E-3</c:v>
                </c:pt>
                <c:pt idx="37">
                  <c:v>5.4289204701251726E-3</c:v>
                </c:pt>
                <c:pt idx="38">
                  <c:v>5.3763981600057995E-3</c:v>
                </c:pt>
                <c:pt idx="39">
                  <c:v>5.3269858030494128E-3</c:v>
                </c:pt>
                <c:pt idx="40">
                  <c:v>5.2806833992560132E-3</c:v>
                </c:pt>
                <c:pt idx="41">
                  <c:v>5.2374909486256078E-3</c:v>
                </c:pt>
                <c:pt idx="42">
                  <c:v>5.1974084511581965E-3</c:v>
                </c:pt>
                <c:pt idx="43">
                  <c:v>5.1604359068537792E-3</c:v>
                </c:pt>
                <c:pt idx="44">
                  <c:v>5.1265733157123492E-3</c:v>
                </c:pt>
                <c:pt idx="45">
                  <c:v>5.0958206777339142E-3</c:v>
                </c:pt>
                <c:pt idx="46">
                  <c:v>5.0681779929184654E-3</c:v>
                </c:pt>
                <c:pt idx="47">
                  <c:v>5.0436452612660117E-3</c:v>
                </c:pt>
                <c:pt idx="48">
                  <c:v>5.0222224827765512E-3</c:v>
                </c:pt>
                <c:pt idx="49">
                  <c:v>5.0039096574500778E-3</c:v>
                </c:pt>
                <c:pt idx="50">
                  <c:v>4.9887067852865917E-3</c:v>
                </c:pt>
                <c:pt idx="51">
                  <c:v>4.9766138662861066E-3</c:v>
                </c:pt>
                <c:pt idx="52">
                  <c:v>4.9676309004486087E-3</c:v>
                </c:pt>
                <c:pt idx="53">
                  <c:v>4.961757887774098E-3</c:v>
                </c:pt>
                <c:pt idx="54">
                  <c:v>4.9589948282625813E-3</c:v>
                </c:pt>
                <c:pt idx="55">
                  <c:v>4.9593417219140666E-3</c:v>
                </c:pt>
                <c:pt idx="56">
                  <c:v>4.9627985687285313E-3</c:v>
                </c:pt>
                <c:pt idx="57">
                  <c:v>4.9693653687059901E-3</c:v>
                </c:pt>
                <c:pt idx="58">
                  <c:v>4.9790421218464361E-3</c:v>
                </c:pt>
                <c:pt idx="59">
                  <c:v>4.991828828149884E-3</c:v>
                </c:pt>
                <c:pt idx="60">
                  <c:v>5.0077254876163112E-3</c:v>
                </c:pt>
                <c:pt idx="61">
                  <c:v>5.0267321002457396E-3</c:v>
                </c:pt>
                <c:pt idx="62">
                  <c:v>5.0488486660381481E-3</c:v>
                </c:pt>
                <c:pt idx="63">
                  <c:v>5.0740751849935655E-3</c:v>
                </c:pt>
                <c:pt idx="64">
                  <c:v>5.1024116571119623E-3</c:v>
                </c:pt>
                <c:pt idx="65">
                  <c:v>5.1338580823933454E-3</c:v>
                </c:pt>
                <c:pt idx="66">
                  <c:v>5.1684144608377313E-3</c:v>
                </c:pt>
                <c:pt idx="67">
                  <c:v>5.2060807924451035E-3</c:v>
                </c:pt>
                <c:pt idx="68">
                  <c:v>5.2468570772154707E-3</c:v>
                </c:pt>
                <c:pt idx="69">
                  <c:v>5.2907433151488242E-3</c:v>
                </c:pt>
                <c:pt idx="70">
                  <c:v>5.3377395062451718E-3</c:v>
                </c:pt>
                <c:pt idx="71">
                  <c:v>5.3878456505045066E-3</c:v>
                </c:pt>
                <c:pt idx="72">
                  <c:v>5.4410617479268356E-3</c:v>
                </c:pt>
                <c:pt idx="73">
                  <c:v>5.4973877985121595E-3</c:v>
                </c:pt>
                <c:pt idx="74">
                  <c:v>5.5568238022604627E-3</c:v>
                </c:pt>
                <c:pt idx="75">
                  <c:v>5.619369759171774E-3</c:v>
                </c:pt>
                <c:pt idx="76">
                  <c:v>5.6850256692460655E-3</c:v>
                </c:pt>
                <c:pt idx="77">
                  <c:v>5.7537915324833511E-3</c:v>
                </c:pt>
                <c:pt idx="78">
                  <c:v>5.8256673488836317E-3</c:v>
                </c:pt>
                <c:pt idx="79">
                  <c:v>5.9006531184469056E-3</c:v>
                </c:pt>
                <c:pt idx="80">
                  <c:v>5.9787488411731596E-3</c:v>
                </c:pt>
              </c:numCache>
            </c:numRef>
          </c:val>
          <c:extLst>
            <c:ext xmlns:c16="http://schemas.microsoft.com/office/drawing/2014/chart" uri="{C3380CC4-5D6E-409C-BE32-E72D297353CC}">
              <c16:uniqueId val="{00000099-B0BD-44B6-BED5-7CDF3E877C37}"/>
            </c:ext>
          </c:extLst>
        </c:ser>
        <c:ser>
          <c:idx val="34"/>
          <c:order val="34"/>
          <c:tx>
            <c:strRef>
              <c:f>Interpolation!$S$37</c:f>
              <c:strCache>
                <c:ptCount val="1"/>
                <c:pt idx="0">
                  <c:v>33.4</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Interpolation!$T$37:$CV$37</c:f>
              <c:numCache>
                <c:formatCode>General</c:formatCode>
                <c:ptCount val="81"/>
                <c:pt idx="0">
                  <c:v>9.5449852754696564E-3</c:v>
                </c:pt>
                <c:pt idx="1">
                  <c:v>9.3772994677368653E-3</c:v>
                </c:pt>
                <c:pt idx="2">
                  <c:v>9.2127236131670665E-3</c:v>
                </c:pt>
                <c:pt idx="3">
                  <c:v>9.0512577117602619E-3</c:v>
                </c:pt>
                <c:pt idx="4">
                  <c:v>8.8929017635164531E-3</c:v>
                </c:pt>
                <c:pt idx="5">
                  <c:v>8.7376557684356228E-3</c:v>
                </c:pt>
                <c:pt idx="6">
                  <c:v>8.5855197265177884E-3</c:v>
                </c:pt>
                <c:pt idx="7">
                  <c:v>8.4364936377629325E-3</c:v>
                </c:pt>
                <c:pt idx="8">
                  <c:v>8.2905775021710863E-3</c:v>
                </c:pt>
                <c:pt idx="9">
                  <c:v>8.1477713197422325E-3</c:v>
                </c:pt>
                <c:pt idx="10">
                  <c:v>8.008075090476359E-3</c:v>
                </c:pt>
                <c:pt idx="11">
                  <c:v>7.8714888143734812E-3</c:v>
                </c:pt>
                <c:pt idx="12">
                  <c:v>7.7380124914335959E-3</c:v>
                </c:pt>
                <c:pt idx="13">
                  <c:v>7.6076461216567056E-3</c:v>
                </c:pt>
                <c:pt idx="14">
                  <c:v>7.4803897050427955E-3</c:v>
                </c:pt>
                <c:pt idx="15">
                  <c:v>7.3562432415918864E-3</c:v>
                </c:pt>
                <c:pt idx="16">
                  <c:v>7.2352067313039645E-3</c:v>
                </c:pt>
                <c:pt idx="17">
                  <c:v>7.117280174179029E-3</c:v>
                </c:pt>
                <c:pt idx="18">
                  <c:v>7.0024635702170953E-3</c:v>
                </c:pt>
                <c:pt idx="19">
                  <c:v>6.8907569194181489E-3</c:v>
                </c:pt>
                <c:pt idx="20">
                  <c:v>6.7821602217821896E-3</c:v>
                </c:pt>
                <c:pt idx="21">
                  <c:v>6.6766734773092314E-3</c:v>
                </c:pt>
                <c:pt idx="22">
                  <c:v>6.5742966859992594E-3</c:v>
                </c:pt>
                <c:pt idx="23">
                  <c:v>6.4750298478522756E-3</c:v>
                </c:pt>
                <c:pt idx="24">
                  <c:v>6.3788729628682858E-3</c:v>
                </c:pt>
                <c:pt idx="25">
                  <c:v>6.2858260310472832E-3</c:v>
                </c:pt>
                <c:pt idx="26">
                  <c:v>6.1958890523892817E-3</c:v>
                </c:pt>
                <c:pt idx="27">
                  <c:v>6.1090620268942674E-3</c:v>
                </c:pt>
                <c:pt idx="28">
                  <c:v>6.0253449545622393E-3</c:v>
                </c:pt>
                <c:pt idx="29">
                  <c:v>5.9447378353932063E-3</c:v>
                </c:pt>
                <c:pt idx="30">
                  <c:v>5.8672406693871674E-3</c:v>
                </c:pt>
                <c:pt idx="31">
                  <c:v>5.7928534565441156E-3</c:v>
                </c:pt>
                <c:pt idx="32">
                  <c:v>5.721576196864058E-3</c:v>
                </c:pt>
                <c:pt idx="33">
                  <c:v>5.6534088903469875E-3</c:v>
                </c:pt>
                <c:pt idx="34">
                  <c:v>5.5883515369929103E-3</c:v>
                </c:pt>
                <c:pt idx="35">
                  <c:v>5.5264041368018281E-3</c:v>
                </c:pt>
                <c:pt idx="36">
                  <c:v>5.467566689773733E-3</c:v>
                </c:pt>
                <c:pt idx="37">
                  <c:v>5.4118391959086321E-3</c:v>
                </c:pt>
                <c:pt idx="38">
                  <c:v>5.3592216552065253E-3</c:v>
                </c:pt>
                <c:pt idx="39">
                  <c:v>5.3097140676674048E-3</c:v>
                </c:pt>
                <c:pt idx="40">
                  <c:v>5.2633164332912732E-3</c:v>
                </c:pt>
                <c:pt idx="41">
                  <c:v>5.220028752078134E-3</c:v>
                </c:pt>
                <c:pt idx="42">
                  <c:v>5.1798510240279897E-3</c:v>
                </c:pt>
                <c:pt idx="43">
                  <c:v>5.1427832491408396E-3</c:v>
                </c:pt>
                <c:pt idx="44">
                  <c:v>5.1088254274166758E-3</c:v>
                </c:pt>
                <c:pt idx="45">
                  <c:v>5.077977558855507E-3</c:v>
                </c:pt>
                <c:pt idx="46">
                  <c:v>5.0502396434573254E-3</c:v>
                </c:pt>
                <c:pt idx="47">
                  <c:v>5.0256116812221379E-3</c:v>
                </c:pt>
                <c:pt idx="48">
                  <c:v>5.0040936721499445E-3</c:v>
                </c:pt>
                <c:pt idx="49">
                  <c:v>4.9856856162407382E-3</c:v>
                </c:pt>
                <c:pt idx="50">
                  <c:v>4.9703875134945192E-3</c:v>
                </c:pt>
                <c:pt idx="51">
                  <c:v>4.9581993639113012E-3</c:v>
                </c:pt>
                <c:pt idx="52">
                  <c:v>4.9491211674910704E-3</c:v>
                </c:pt>
                <c:pt idx="53">
                  <c:v>4.9431529242338259E-3</c:v>
                </c:pt>
                <c:pt idx="54">
                  <c:v>4.9402946341395764E-3</c:v>
                </c:pt>
                <c:pt idx="55">
                  <c:v>4.9405462972083279E-3</c:v>
                </c:pt>
                <c:pt idx="56">
                  <c:v>4.9439079134400588E-3</c:v>
                </c:pt>
                <c:pt idx="57">
                  <c:v>4.9503794828347847E-3</c:v>
                </c:pt>
                <c:pt idx="58">
                  <c:v>4.9599610053924978E-3</c:v>
                </c:pt>
                <c:pt idx="59">
                  <c:v>4.9726524811132128E-3</c:v>
                </c:pt>
                <c:pt idx="60">
                  <c:v>4.9884539099969063E-3</c:v>
                </c:pt>
                <c:pt idx="61">
                  <c:v>5.0073652920436017E-3</c:v>
                </c:pt>
                <c:pt idx="62">
                  <c:v>5.0293866272532774E-3</c:v>
                </c:pt>
                <c:pt idx="63">
                  <c:v>5.0545179156259602E-3</c:v>
                </c:pt>
                <c:pt idx="64">
                  <c:v>5.0827591571616249E-3</c:v>
                </c:pt>
                <c:pt idx="65">
                  <c:v>5.1141103518602751E-3</c:v>
                </c:pt>
                <c:pt idx="66">
                  <c:v>5.1485714997219264E-3</c:v>
                </c:pt>
                <c:pt idx="67">
                  <c:v>5.1861426007465666E-3</c:v>
                </c:pt>
                <c:pt idx="68">
                  <c:v>5.2268236549341991E-3</c:v>
                </c:pt>
                <c:pt idx="69">
                  <c:v>5.2706146622848197E-3</c:v>
                </c:pt>
                <c:pt idx="70">
                  <c:v>5.3175156227984344E-3</c:v>
                </c:pt>
                <c:pt idx="71">
                  <c:v>5.3675265364750363E-3</c:v>
                </c:pt>
                <c:pt idx="72">
                  <c:v>5.4206474033146324E-3</c:v>
                </c:pt>
                <c:pt idx="73">
                  <c:v>5.4768782233172225E-3</c:v>
                </c:pt>
                <c:pt idx="74">
                  <c:v>5.5362189964827929E-3</c:v>
                </c:pt>
                <c:pt idx="75">
                  <c:v>5.5986697228113703E-3</c:v>
                </c:pt>
                <c:pt idx="76">
                  <c:v>5.664230402302929E-3</c:v>
                </c:pt>
                <c:pt idx="77">
                  <c:v>5.7329010349574817E-3</c:v>
                </c:pt>
                <c:pt idx="78">
                  <c:v>5.8046816207750285E-3</c:v>
                </c:pt>
                <c:pt idx="79">
                  <c:v>5.8795721597555695E-3</c:v>
                </c:pt>
                <c:pt idx="80">
                  <c:v>5.9575726518990898E-3</c:v>
                </c:pt>
              </c:numCache>
            </c:numRef>
          </c:val>
          <c:extLst>
            <c:ext xmlns:c16="http://schemas.microsoft.com/office/drawing/2014/chart" uri="{C3380CC4-5D6E-409C-BE32-E72D297353CC}">
              <c16:uniqueId val="{0000009A-B0BD-44B6-BED5-7CDF3E877C37}"/>
            </c:ext>
          </c:extLst>
        </c:ser>
        <c:ser>
          <c:idx val="35"/>
          <c:order val="35"/>
          <c:tx>
            <c:strRef>
              <c:f>Interpolation!$S$38</c:f>
              <c:strCache>
                <c:ptCount val="1"/>
                <c:pt idx="0">
                  <c:v>33.5</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Interpolation!$T$38:$CV$38</c:f>
              <c:numCache>
                <c:formatCode>General</c:formatCode>
                <c:ptCount val="81"/>
                <c:pt idx="0">
                  <c:v>9.5323279865410764E-3</c:v>
                </c:pt>
                <c:pt idx="1">
                  <c:v>9.3645469482255515E-3</c:v>
                </c:pt>
                <c:pt idx="2">
                  <c:v>9.1998758630730208E-3</c:v>
                </c:pt>
                <c:pt idx="3">
                  <c:v>9.0383147310834824E-3</c:v>
                </c:pt>
                <c:pt idx="4">
                  <c:v>8.8798635522569398E-3</c:v>
                </c:pt>
                <c:pt idx="5">
                  <c:v>8.7245223265933775E-3</c:v>
                </c:pt>
                <c:pt idx="6">
                  <c:v>8.5722910540928093E-3</c:v>
                </c:pt>
                <c:pt idx="7">
                  <c:v>8.4231697347552197E-3</c:v>
                </c:pt>
                <c:pt idx="8">
                  <c:v>8.2771583685806397E-3</c:v>
                </c:pt>
                <c:pt idx="9">
                  <c:v>8.1342569555690539E-3</c:v>
                </c:pt>
                <c:pt idx="10">
                  <c:v>7.9944654957204483E-3</c:v>
                </c:pt>
                <c:pt idx="11">
                  <c:v>7.8577839890348351E-3</c:v>
                </c:pt>
                <c:pt idx="12">
                  <c:v>7.7242124355122177E-3</c:v>
                </c:pt>
                <c:pt idx="13">
                  <c:v>7.5937508351525945E-3</c:v>
                </c:pt>
                <c:pt idx="14">
                  <c:v>7.4663991879559506E-3</c:v>
                </c:pt>
                <c:pt idx="15">
                  <c:v>7.3421574939223078E-3</c:v>
                </c:pt>
                <c:pt idx="16">
                  <c:v>7.221025753051653E-3</c:v>
                </c:pt>
                <c:pt idx="17">
                  <c:v>7.1030039653439845E-3</c:v>
                </c:pt>
                <c:pt idx="18">
                  <c:v>6.988092130799318E-3</c:v>
                </c:pt>
                <c:pt idx="19">
                  <c:v>6.8762902494176378E-3</c:v>
                </c:pt>
                <c:pt idx="20">
                  <c:v>6.7675983211989456E-3</c:v>
                </c:pt>
                <c:pt idx="21">
                  <c:v>6.6620163461432536E-3</c:v>
                </c:pt>
                <c:pt idx="22">
                  <c:v>6.5595443242505488E-3</c:v>
                </c:pt>
                <c:pt idx="23">
                  <c:v>6.460182255520832E-3</c:v>
                </c:pt>
                <c:pt idx="24">
                  <c:v>6.3639301399541093E-3</c:v>
                </c:pt>
                <c:pt idx="25">
                  <c:v>6.270787977550373E-3</c:v>
                </c:pt>
                <c:pt idx="26">
                  <c:v>6.1807557683096377E-3</c:v>
                </c:pt>
                <c:pt idx="27">
                  <c:v>6.0938335122318905E-3</c:v>
                </c:pt>
                <c:pt idx="28">
                  <c:v>6.0100212093171295E-3</c:v>
                </c:pt>
                <c:pt idx="29">
                  <c:v>5.9293188595653636E-3</c:v>
                </c:pt>
                <c:pt idx="30">
                  <c:v>5.8517264629765909E-3</c:v>
                </c:pt>
                <c:pt idx="31">
                  <c:v>5.7772440195508062E-3</c:v>
                </c:pt>
                <c:pt idx="32">
                  <c:v>5.7058715292880157E-3</c:v>
                </c:pt>
                <c:pt idx="33">
                  <c:v>5.6376089921882115E-3</c:v>
                </c:pt>
                <c:pt idx="34">
                  <c:v>5.5724564082514014E-3</c:v>
                </c:pt>
                <c:pt idx="35">
                  <c:v>5.5104137774775862E-3</c:v>
                </c:pt>
                <c:pt idx="36">
                  <c:v>5.4514810998667574E-3</c:v>
                </c:pt>
                <c:pt idx="37">
                  <c:v>5.3956583754189227E-3</c:v>
                </c:pt>
                <c:pt idx="38">
                  <c:v>5.342945604134083E-3</c:v>
                </c:pt>
                <c:pt idx="39">
                  <c:v>5.2933427860122305E-3</c:v>
                </c:pt>
                <c:pt idx="40">
                  <c:v>5.2468499210533643E-3</c:v>
                </c:pt>
                <c:pt idx="41">
                  <c:v>5.2034670092574922E-3</c:v>
                </c:pt>
                <c:pt idx="42">
                  <c:v>5.163194050624615E-3</c:v>
                </c:pt>
                <c:pt idx="43">
                  <c:v>5.1260310451547312E-3</c:v>
                </c:pt>
                <c:pt idx="44">
                  <c:v>5.0919779928478345E-3</c:v>
                </c:pt>
                <c:pt idx="45">
                  <c:v>5.0610348937039328E-3</c:v>
                </c:pt>
                <c:pt idx="46">
                  <c:v>5.0332017477230182E-3</c:v>
                </c:pt>
                <c:pt idx="47">
                  <c:v>5.0084785549050969E-3</c:v>
                </c:pt>
                <c:pt idx="48">
                  <c:v>4.9868653152501706E-3</c:v>
                </c:pt>
                <c:pt idx="49">
                  <c:v>4.9683620287582306E-3</c:v>
                </c:pt>
                <c:pt idx="50">
                  <c:v>4.9529686954292787E-3</c:v>
                </c:pt>
                <c:pt idx="51">
                  <c:v>4.9406853152633269E-3</c:v>
                </c:pt>
                <c:pt idx="52">
                  <c:v>4.9315118882603624E-3</c:v>
                </c:pt>
                <c:pt idx="53">
                  <c:v>4.9254484144203858E-3</c:v>
                </c:pt>
                <c:pt idx="54">
                  <c:v>4.9224948937434026E-3</c:v>
                </c:pt>
                <c:pt idx="55">
                  <c:v>4.9226513262294212E-3</c:v>
                </c:pt>
                <c:pt idx="56">
                  <c:v>4.9259177118784192E-3</c:v>
                </c:pt>
                <c:pt idx="57">
                  <c:v>4.9322940506904122E-3</c:v>
                </c:pt>
                <c:pt idx="58">
                  <c:v>4.9417803426653915E-3</c:v>
                </c:pt>
                <c:pt idx="59">
                  <c:v>4.9543765878033727E-3</c:v>
                </c:pt>
                <c:pt idx="60">
                  <c:v>4.9700827861043333E-3</c:v>
                </c:pt>
                <c:pt idx="61">
                  <c:v>4.9888989375682959E-3</c:v>
                </c:pt>
                <c:pt idx="62">
                  <c:v>5.0108250421952378E-3</c:v>
                </c:pt>
                <c:pt idx="63">
                  <c:v>5.0358610999851876E-3</c:v>
                </c:pt>
                <c:pt idx="64">
                  <c:v>5.0640071109381186E-3</c:v>
                </c:pt>
                <c:pt idx="65">
                  <c:v>5.095263075054036E-3</c:v>
                </c:pt>
                <c:pt idx="66">
                  <c:v>5.1296289923329543E-3</c:v>
                </c:pt>
                <c:pt idx="67">
                  <c:v>5.1671048627748607E-3</c:v>
                </c:pt>
                <c:pt idx="68">
                  <c:v>5.2076906863797612E-3</c:v>
                </c:pt>
                <c:pt idx="69">
                  <c:v>5.2513864631476481E-3</c:v>
                </c:pt>
                <c:pt idx="70">
                  <c:v>5.298192193078529E-3</c:v>
                </c:pt>
                <c:pt idx="71">
                  <c:v>5.348107876172398E-3</c:v>
                </c:pt>
                <c:pt idx="72">
                  <c:v>5.4011335124292612E-3</c:v>
                </c:pt>
                <c:pt idx="73">
                  <c:v>5.4572691018491184E-3</c:v>
                </c:pt>
                <c:pt idx="74">
                  <c:v>5.516514644431955E-3</c:v>
                </c:pt>
                <c:pt idx="75">
                  <c:v>5.5788701401777996E-3</c:v>
                </c:pt>
                <c:pt idx="76">
                  <c:v>5.6443355890866253E-3</c:v>
                </c:pt>
                <c:pt idx="77">
                  <c:v>5.7129109911584434E-3</c:v>
                </c:pt>
                <c:pt idx="78">
                  <c:v>5.7845963463932573E-3</c:v>
                </c:pt>
                <c:pt idx="79">
                  <c:v>5.8593916547910654E-3</c:v>
                </c:pt>
                <c:pt idx="80">
                  <c:v>5.9372969163518528E-3</c:v>
                </c:pt>
              </c:numCache>
            </c:numRef>
          </c:val>
          <c:extLst>
            <c:ext xmlns:c16="http://schemas.microsoft.com/office/drawing/2014/chart" uri="{C3380CC4-5D6E-409C-BE32-E72D297353CC}">
              <c16:uniqueId val="{0000009B-B0BD-44B6-BED5-7CDF3E877C37}"/>
            </c:ext>
          </c:extLst>
        </c:ser>
        <c:ser>
          <c:idx val="36"/>
          <c:order val="36"/>
          <c:tx>
            <c:strRef>
              <c:f>Interpolation!$S$39</c:f>
              <c:strCache>
                <c:ptCount val="1"/>
                <c:pt idx="0">
                  <c:v>33.6</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Interpolation!$T$39:$CV$39</c:f>
              <c:numCache>
                <c:formatCode>General</c:formatCode>
                <c:ptCount val="81"/>
                <c:pt idx="0">
                  <c:v>9.5205711513392799E-3</c:v>
                </c:pt>
                <c:pt idx="1">
                  <c:v>9.3526948824410212E-3</c:v>
                </c:pt>
                <c:pt idx="2">
                  <c:v>9.1879285667057567E-3</c:v>
                </c:pt>
                <c:pt idx="3">
                  <c:v>9.0262722041334863E-3</c:v>
                </c:pt>
                <c:pt idx="4">
                  <c:v>8.86772579472421E-3</c:v>
                </c:pt>
                <c:pt idx="5">
                  <c:v>8.7122893384779139E-3</c:v>
                </c:pt>
                <c:pt idx="6">
                  <c:v>8.5599628353946119E-3</c:v>
                </c:pt>
                <c:pt idx="7">
                  <c:v>8.4107462854742902E-3</c:v>
                </c:pt>
                <c:pt idx="8">
                  <c:v>8.2646396887169765E-3</c:v>
                </c:pt>
                <c:pt idx="9">
                  <c:v>8.1216430451226569E-3</c:v>
                </c:pt>
                <c:pt idx="10">
                  <c:v>7.9817563546913176E-3</c:v>
                </c:pt>
                <c:pt idx="11">
                  <c:v>7.8449796174229723E-3</c:v>
                </c:pt>
                <c:pt idx="12">
                  <c:v>7.7113128333176212E-3</c:v>
                </c:pt>
                <c:pt idx="13">
                  <c:v>7.5807560023752642E-3</c:v>
                </c:pt>
                <c:pt idx="14">
                  <c:v>7.4533091245958874E-3</c:v>
                </c:pt>
                <c:pt idx="15">
                  <c:v>7.3289721999795117E-3</c:v>
                </c:pt>
                <c:pt idx="16">
                  <c:v>7.2077452285261231E-3</c:v>
                </c:pt>
                <c:pt idx="17">
                  <c:v>7.0896282102357209E-3</c:v>
                </c:pt>
                <c:pt idx="18">
                  <c:v>6.9746211451083206E-3</c:v>
                </c:pt>
                <c:pt idx="19">
                  <c:v>6.8627240331439075E-3</c:v>
                </c:pt>
                <c:pt idx="20">
                  <c:v>6.7539368743424815E-3</c:v>
                </c:pt>
                <c:pt idx="21">
                  <c:v>6.6482596687040575E-3</c:v>
                </c:pt>
                <c:pt idx="22">
                  <c:v>6.5456924162286189E-3</c:v>
                </c:pt>
                <c:pt idx="23">
                  <c:v>6.4462351169161684E-3</c:v>
                </c:pt>
                <c:pt idx="24">
                  <c:v>6.349887770766712E-3</c:v>
                </c:pt>
                <c:pt idx="25">
                  <c:v>6.2566503777802427E-3</c:v>
                </c:pt>
                <c:pt idx="26">
                  <c:v>6.1665229379567746E-3</c:v>
                </c:pt>
                <c:pt idx="27">
                  <c:v>6.0795054512962935E-3</c:v>
                </c:pt>
                <c:pt idx="28">
                  <c:v>5.9955979177987997E-3</c:v>
                </c:pt>
                <c:pt idx="29">
                  <c:v>5.9148003374643E-3</c:v>
                </c:pt>
                <c:pt idx="30">
                  <c:v>5.8371127102927944E-3</c:v>
                </c:pt>
                <c:pt idx="31">
                  <c:v>5.762535036284276E-3</c:v>
                </c:pt>
                <c:pt idx="32">
                  <c:v>5.6910673154387517E-3</c:v>
                </c:pt>
                <c:pt idx="33">
                  <c:v>5.6227095477562146E-3</c:v>
                </c:pt>
                <c:pt idx="34">
                  <c:v>5.5574617332366716E-3</c:v>
                </c:pt>
                <c:pt idx="35">
                  <c:v>5.4953238718801227E-3</c:v>
                </c:pt>
                <c:pt idx="36">
                  <c:v>5.4362959636865609E-3</c:v>
                </c:pt>
                <c:pt idx="37">
                  <c:v>5.3803780086559934E-3</c:v>
                </c:pt>
                <c:pt idx="38">
                  <c:v>5.3275700067884199E-3</c:v>
                </c:pt>
                <c:pt idx="39">
                  <c:v>5.2778719580838336E-3</c:v>
                </c:pt>
                <c:pt idx="40">
                  <c:v>5.2312838625422345E-3</c:v>
                </c:pt>
                <c:pt idx="41">
                  <c:v>5.1878057201636294E-3</c:v>
                </c:pt>
                <c:pt idx="42">
                  <c:v>5.1474375309480186E-3</c:v>
                </c:pt>
                <c:pt idx="43">
                  <c:v>5.1101792948954018E-3</c:v>
                </c:pt>
                <c:pt idx="44">
                  <c:v>5.0760310120057722E-3</c:v>
                </c:pt>
                <c:pt idx="45">
                  <c:v>5.0449926822791358E-3</c:v>
                </c:pt>
                <c:pt idx="46">
                  <c:v>5.0170643057154875E-3</c:v>
                </c:pt>
                <c:pt idx="47">
                  <c:v>4.9922458823148342E-3</c:v>
                </c:pt>
                <c:pt idx="48">
                  <c:v>4.9705374120771742E-3</c:v>
                </c:pt>
                <c:pt idx="49">
                  <c:v>4.9519388950025013E-3</c:v>
                </c:pt>
                <c:pt idx="50">
                  <c:v>4.9364503310908156E-3</c:v>
                </c:pt>
                <c:pt idx="51">
                  <c:v>4.9240717203421309E-3</c:v>
                </c:pt>
                <c:pt idx="52">
                  <c:v>4.9148030627564334E-3</c:v>
                </c:pt>
                <c:pt idx="53">
                  <c:v>4.9086443583337223E-3</c:v>
                </c:pt>
                <c:pt idx="54">
                  <c:v>4.9055956070740061E-3</c:v>
                </c:pt>
                <c:pt idx="55">
                  <c:v>4.9056568089772918E-3</c:v>
                </c:pt>
                <c:pt idx="56">
                  <c:v>4.9088279640435561E-3</c:v>
                </c:pt>
                <c:pt idx="57">
                  <c:v>4.9151090722728153E-3</c:v>
                </c:pt>
                <c:pt idx="58">
                  <c:v>4.9245001336650617E-3</c:v>
                </c:pt>
                <c:pt idx="59">
                  <c:v>4.9370011482203092E-3</c:v>
                </c:pt>
                <c:pt idx="60">
                  <c:v>4.9526121159385369E-3</c:v>
                </c:pt>
                <c:pt idx="61">
                  <c:v>4.9713330368197656E-3</c:v>
                </c:pt>
                <c:pt idx="62">
                  <c:v>4.9931639108639746E-3</c:v>
                </c:pt>
                <c:pt idx="63">
                  <c:v>5.0181047380711916E-3</c:v>
                </c:pt>
                <c:pt idx="64">
                  <c:v>5.0461555184413889E-3</c:v>
                </c:pt>
                <c:pt idx="65">
                  <c:v>5.0773162519745733E-3</c:v>
                </c:pt>
                <c:pt idx="66">
                  <c:v>5.1115869386707587E-3</c:v>
                </c:pt>
                <c:pt idx="67">
                  <c:v>5.1489675785299314E-3</c:v>
                </c:pt>
                <c:pt idx="68">
                  <c:v>5.1894581715520981E-3</c:v>
                </c:pt>
                <c:pt idx="69">
                  <c:v>5.2330587177372521E-3</c:v>
                </c:pt>
                <c:pt idx="70">
                  <c:v>5.2797692170854001E-3</c:v>
                </c:pt>
                <c:pt idx="71">
                  <c:v>5.3295896695965354E-3</c:v>
                </c:pt>
                <c:pt idx="72">
                  <c:v>5.3825200752706647E-3</c:v>
                </c:pt>
                <c:pt idx="73">
                  <c:v>5.4385604341077882E-3</c:v>
                </c:pt>
                <c:pt idx="74">
                  <c:v>5.4977107461078919E-3</c:v>
                </c:pt>
                <c:pt idx="75">
                  <c:v>5.5599710112710036E-3</c:v>
                </c:pt>
                <c:pt idx="76">
                  <c:v>5.6253412295970955E-3</c:v>
                </c:pt>
                <c:pt idx="77">
                  <c:v>5.6938214010861816E-3</c:v>
                </c:pt>
                <c:pt idx="78">
                  <c:v>5.7654115257382618E-3</c:v>
                </c:pt>
                <c:pt idx="79">
                  <c:v>5.840111603553336E-3</c:v>
                </c:pt>
                <c:pt idx="80">
                  <c:v>5.9179216345313906E-3</c:v>
                </c:pt>
              </c:numCache>
            </c:numRef>
          </c:val>
          <c:extLst>
            <c:ext xmlns:c16="http://schemas.microsoft.com/office/drawing/2014/chart" uri="{C3380CC4-5D6E-409C-BE32-E72D297353CC}">
              <c16:uniqueId val="{0000009C-B0BD-44B6-BED5-7CDF3E877C37}"/>
            </c:ext>
          </c:extLst>
        </c:ser>
        <c:ser>
          <c:idx val="37"/>
          <c:order val="37"/>
          <c:tx>
            <c:strRef>
              <c:f>Interpolation!$S$40</c:f>
              <c:strCache>
                <c:ptCount val="1"/>
                <c:pt idx="0">
                  <c:v>33.7</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Interpolation!$T$40:$CV$40</c:f>
              <c:numCache>
                <c:formatCode>General</c:formatCode>
                <c:ptCount val="81"/>
                <c:pt idx="0">
                  <c:v>9.5097147698643223E-3</c:v>
                </c:pt>
                <c:pt idx="1">
                  <c:v>9.3417432703833299E-3</c:v>
                </c:pt>
                <c:pt idx="2">
                  <c:v>9.1768817240653333E-3</c:v>
                </c:pt>
                <c:pt idx="3">
                  <c:v>9.0151301309103291E-3</c:v>
                </c:pt>
                <c:pt idx="4">
                  <c:v>8.8564884909183191E-3</c:v>
                </c:pt>
                <c:pt idx="5">
                  <c:v>8.700956804089291E-3</c:v>
                </c:pt>
                <c:pt idx="6">
                  <c:v>8.5485350704232552E-3</c:v>
                </c:pt>
                <c:pt idx="7">
                  <c:v>8.3992232899201998E-3</c:v>
                </c:pt>
                <c:pt idx="8">
                  <c:v>8.253021462580154E-3</c:v>
                </c:pt>
                <c:pt idx="9">
                  <c:v>8.1099295884031006E-3</c:v>
                </c:pt>
                <c:pt idx="10">
                  <c:v>7.9699476673890275E-3</c:v>
                </c:pt>
                <c:pt idx="11">
                  <c:v>7.8330756995379485E-3</c:v>
                </c:pt>
                <c:pt idx="12">
                  <c:v>7.6993136848498645E-3</c:v>
                </c:pt>
                <c:pt idx="13">
                  <c:v>7.5686616233247746E-3</c:v>
                </c:pt>
                <c:pt idx="14">
                  <c:v>7.4411195149626649E-3</c:v>
                </c:pt>
                <c:pt idx="15">
                  <c:v>7.3166873597635554E-3</c:v>
                </c:pt>
                <c:pt idx="16">
                  <c:v>7.195365157727434E-3</c:v>
                </c:pt>
                <c:pt idx="17">
                  <c:v>7.0771529088542989E-3</c:v>
                </c:pt>
                <c:pt idx="18">
                  <c:v>6.9620506131441657E-3</c:v>
                </c:pt>
                <c:pt idx="19">
                  <c:v>6.8500582705970196E-3</c:v>
                </c:pt>
                <c:pt idx="20">
                  <c:v>6.7411758812128599E-3</c:v>
                </c:pt>
                <c:pt idx="21">
                  <c:v>6.6354034449917021E-3</c:v>
                </c:pt>
                <c:pt idx="22">
                  <c:v>6.5327409619335315E-3</c:v>
                </c:pt>
                <c:pt idx="23">
                  <c:v>6.4331884320383472E-3</c:v>
                </c:pt>
                <c:pt idx="24">
                  <c:v>6.336745855306157E-3</c:v>
                </c:pt>
                <c:pt idx="25">
                  <c:v>6.2434132317369558E-3</c:v>
                </c:pt>
                <c:pt idx="26">
                  <c:v>6.1531905613307538E-3</c:v>
                </c:pt>
                <c:pt idx="27">
                  <c:v>6.0660778440875399E-3</c:v>
                </c:pt>
                <c:pt idx="28">
                  <c:v>5.9820750800073123E-3</c:v>
                </c:pt>
                <c:pt idx="29">
                  <c:v>5.9011822690900797E-3</c:v>
                </c:pt>
                <c:pt idx="30">
                  <c:v>5.8233994113358403E-3</c:v>
                </c:pt>
                <c:pt idx="31">
                  <c:v>5.748726506744589E-3</c:v>
                </c:pt>
                <c:pt idx="32">
                  <c:v>5.6771635553163318E-3</c:v>
                </c:pt>
                <c:pt idx="33">
                  <c:v>5.6087105570510609E-3</c:v>
                </c:pt>
                <c:pt idx="34">
                  <c:v>5.543367511948785E-3</c:v>
                </c:pt>
                <c:pt idx="35">
                  <c:v>5.4811344200095024E-3</c:v>
                </c:pt>
                <c:pt idx="36">
                  <c:v>5.4220112812332077E-3</c:v>
                </c:pt>
                <c:pt idx="37">
                  <c:v>5.3659980956199064E-3</c:v>
                </c:pt>
                <c:pt idx="38">
                  <c:v>5.3130948631696E-3</c:v>
                </c:pt>
                <c:pt idx="39">
                  <c:v>5.2633015838822808E-3</c:v>
                </c:pt>
                <c:pt idx="40">
                  <c:v>5.2166182577579479E-3</c:v>
                </c:pt>
                <c:pt idx="41">
                  <c:v>5.17304488479661E-3</c:v>
                </c:pt>
                <c:pt idx="42">
                  <c:v>5.1325814649982662E-3</c:v>
                </c:pt>
                <c:pt idx="43">
                  <c:v>5.0952279983629157E-3</c:v>
                </c:pt>
                <c:pt idx="44">
                  <c:v>5.0609844848905532E-3</c:v>
                </c:pt>
                <c:pt idx="45">
                  <c:v>5.029850924581184E-3</c:v>
                </c:pt>
                <c:pt idx="46">
                  <c:v>5.0018273174348028E-3</c:v>
                </c:pt>
                <c:pt idx="47">
                  <c:v>4.9769136634514157E-3</c:v>
                </c:pt>
                <c:pt idx="48">
                  <c:v>4.9551099626310218E-3</c:v>
                </c:pt>
                <c:pt idx="49">
                  <c:v>4.9364162149736161E-3</c:v>
                </c:pt>
                <c:pt idx="50">
                  <c:v>4.9208324204791966E-3</c:v>
                </c:pt>
                <c:pt idx="51">
                  <c:v>4.908358579147779E-3</c:v>
                </c:pt>
                <c:pt idx="52">
                  <c:v>4.8989946909793487E-3</c:v>
                </c:pt>
                <c:pt idx="53">
                  <c:v>4.8927407559739046E-3</c:v>
                </c:pt>
                <c:pt idx="54">
                  <c:v>4.8895967741314555E-3</c:v>
                </c:pt>
                <c:pt idx="55">
                  <c:v>4.8895627454520075E-3</c:v>
                </c:pt>
                <c:pt idx="56">
                  <c:v>4.8926386699355388E-3</c:v>
                </c:pt>
                <c:pt idx="57">
                  <c:v>4.8988245475820643E-3</c:v>
                </c:pt>
                <c:pt idx="58">
                  <c:v>4.9081203783915778E-3</c:v>
                </c:pt>
                <c:pt idx="59">
                  <c:v>4.9205261623640924E-3</c:v>
                </c:pt>
                <c:pt idx="60">
                  <c:v>4.9360418994995872E-3</c:v>
                </c:pt>
                <c:pt idx="61">
                  <c:v>4.954667589798083E-3</c:v>
                </c:pt>
                <c:pt idx="62">
                  <c:v>4.9764032332595583E-3</c:v>
                </c:pt>
                <c:pt idx="63">
                  <c:v>5.0012488298840415E-3</c:v>
                </c:pt>
                <c:pt idx="64">
                  <c:v>5.0292043796715067E-3</c:v>
                </c:pt>
                <c:pt idx="65">
                  <c:v>5.0602698826219573E-3</c:v>
                </c:pt>
                <c:pt idx="66">
                  <c:v>5.094445338735409E-3</c:v>
                </c:pt>
                <c:pt idx="67">
                  <c:v>5.1317307480118479E-3</c:v>
                </c:pt>
                <c:pt idx="68">
                  <c:v>5.1721261104512818E-3</c:v>
                </c:pt>
                <c:pt idx="69">
                  <c:v>5.2156314260537028E-3</c:v>
                </c:pt>
                <c:pt idx="70">
                  <c:v>5.2622466948191171E-3</c:v>
                </c:pt>
                <c:pt idx="71">
                  <c:v>5.3119719167475194E-3</c:v>
                </c:pt>
                <c:pt idx="72">
                  <c:v>5.3648070918389159E-3</c:v>
                </c:pt>
                <c:pt idx="73">
                  <c:v>5.4207522200933065E-3</c:v>
                </c:pt>
                <c:pt idx="74">
                  <c:v>5.4798073015106773E-3</c:v>
                </c:pt>
                <c:pt idx="75">
                  <c:v>5.5419723360910552E-3</c:v>
                </c:pt>
                <c:pt idx="76">
                  <c:v>5.6072473238344134E-3</c:v>
                </c:pt>
                <c:pt idx="77">
                  <c:v>5.6756322647407665E-3</c:v>
                </c:pt>
                <c:pt idx="78">
                  <c:v>5.7471271588101138E-3</c:v>
                </c:pt>
                <c:pt idx="79">
                  <c:v>5.8217320060424543E-3</c:v>
                </c:pt>
                <c:pt idx="80">
                  <c:v>5.8994468064377751E-3</c:v>
                </c:pt>
              </c:numCache>
            </c:numRef>
          </c:val>
          <c:extLst>
            <c:ext xmlns:c16="http://schemas.microsoft.com/office/drawing/2014/chart" uri="{C3380CC4-5D6E-409C-BE32-E72D297353CC}">
              <c16:uniqueId val="{0000009D-B0BD-44B6-BED5-7CDF3E877C37}"/>
            </c:ext>
          </c:extLst>
        </c:ser>
        <c:ser>
          <c:idx val="38"/>
          <c:order val="38"/>
          <c:tx>
            <c:strRef>
              <c:f>Interpolation!$S$41</c:f>
              <c:strCache>
                <c:ptCount val="1"/>
                <c:pt idx="0">
                  <c:v>33.8</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Interpolation!$T$41:$CV$41</c:f>
              <c:numCache>
                <c:formatCode>General</c:formatCode>
                <c:ptCount val="81"/>
                <c:pt idx="0">
                  <c:v>9.4997588421161985E-3</c:v>
                </c:pt>
                <c:pt idx="1">
                  <c:v>9.3316921120524723E-3</c:v>
                </c:pt>
                <c:pt idx="2">
                  <c:v>9.1667353351517419E-3</c:v>
                </c:pt>
                <c:pt idx="3">
                  <c:v>9.0048885114140057E-3</c:v>
                </c:pt>
                <c:pt idx="4">
                  <c:v>8.8461516408392619E-3</c:v>
                </c:pt>
                <c:pt idx="5">
                  <c:v>8.6905247234275E-3</c:v>
                </c:pt>
                <c:pt idx="6">
                  <c:v>8.5380077591787323E-3</c:v>
                </c:pt>
                <c:pt idx="7">
                  <c:v>8.3886007480929448E-3</c:v>
                </c:pt>
                <c:pt idx="8">
                  <c:v>8.2423036901701635E-3</c:v>
                </c:pt>
                <c:pt idx="9">
                  <c:v>8.0991165854103781E-3</c:v>
                </c:pt>
                <c:pt idx="10">
                  <c:v>7.959039433813573E-3</c:v>
                </c:pt>
                <c:pt idx="11">
                  <c:v>7.8220722353797602E-3</c:v>
                </c:pt>
                <c:pt idx="12">
                  <c:v>7.6882149901089433E-3</c:v>
                </c:pt>
                <c:pt idx="13">
                  <c:v>7.5574676980011196E-3</c:v>
                </c:pt>
                <c:pt idx="14">
                  <c:v>7.4298303590562761E-3</c:v>
                </c:pt>
                <c:pt idx="15">
                  <c:v>7.3053029732744346E-3</c:v>
                </c:pt>
                <c:pt idx="16">
                  <c:v>7.1838855406555794E-3</c:v>
                </c:pt>
                <c:pt idx="17">
                  <c:v>7.0655780611997114E-3</c:v>
                </c:pt>
                <c:pt idx="18">
                  <c:v>6.9503805349068453E-3</c:v>
                </c:pt>
                <c:pt idx="19">
                  <c:v>6.8382929617769655E-3</c:v>
                </c:pt>
                <c:pt idx="20">
                  <c:v>6.7293153418100738E-3</c:v>
                </c:pt>
                <c:pt idx="21">
                  <c:v>6.6234476750061822E-3</c:v>
                </c:pt>
                <c:pt idx="22">
                  <c:v>6.5206899613652778E-3</c:v>
                </c:pt>
                <c:pt idx="23">
                  <c:v>6.4210422008873606E-3</c:v>
                </c:pt>
                <c:pt idx="24">
                  <c:v>6.3245043935724384E-3</c:v>
                </c:pt>
                <c:pt idx="25">
                  <c:v>6.2310765394205034E-3</c:v>
                </c:pt>
                <c:pt idx="26">
                  <c:v>6.1407586384315685E-3</c:v>
                </c:pt>
                <c:pt idx="27">
                  <c:v>6.0535506906056209E-3</c:v>
                </c:pt>
                <c:pt idx="28">
                  <c:v>5.9694526959426604E-3</c:v>
                </c:pt>
                <c:pt idx="29">
                  <c:v>5.8884646544426949E-3</c:v>
                </c:pt>
                <c:pt idx="30">
                  <c:v>5.8105865661057226E-3</c:v>
                </c:pt>
                <c:pt idx="31">
                  <c:v>5.7358184309317384E-3</c:v>
                </c:pt>
                <c:pt idx="32">
                  <c:v>5.6641602489207474E-3</c:v>
                </c:pt>
                <c:pt idx="33">
                  <c:v>5.5956120200727436E-3</c:v>
                </c:pt>
                <c:pt idx="34">
                  <c:v>5.5301737443877348E-3</c:v>
                </c:pt>
                <c:pt idx="35">
                  <c:v>5.4678454218657193E-3</c:v>
                </c:pt>
                <c:pt idx="36">
                  <c:v>5.4086270525066909E-3</c:v>
                </c:pt>
                <c:pt idx="37">
                  <c:v>5.3525186363106575E-3</c:v>
                </c:pt>
                <c:pt idx="38">
                  <c:v>5.2995201732776174E-3</c:v>
                </c:pt>
                <c:pt idx="39">
                  <c:v>5.2496316634075644E-3</c:v>
                </c:pt>
                <c:pt idx="40">
                  <c:v>5.2028531067004995E-3</c:v>
                </c:pt>
                <c:pt idx="41">
                  <c:v>5.1591845031564278E-3</c:v>
                </c:pt>
                <c:pt idx="42">
                  <c:v>5.1186258527753502E-3</c:v>
                </c:pt>
                <c:pt idx="43">
                  <c:v>5.0811771555572677E-3</c:v>
                </c:pt>
                <c:pt idx="44">
                  <c:v>5.0468384115021714E-3</c:v>
                </c:pt>
                <c:pt idx="45">
                  <c:v>5.0156096206100693E-3</c:v>
                </c:pt>
                <c:pt idx="46">
                  <c:v>4.9874907828809552E-3</c:v>
                </c:pt>
                <c:pt idx="47">
                  <c:v>4.9624818983148343E-3</c:v>
                </c:pt>
                <c:pt idx="48">
                  <c:v>4.9405829669117085E-3</c:v>
                </c:pt>
                <c:pt idx="49">
                  <c:v>4.9217939886715689E-3</c:v>
                </c:pt>
                <c:pt idx="50">
                  <c:v>4.9061149635944174E-3</c:v>
                </c:pt>
                <c:pt idx="51">
                  <c:v>4.8935458916802661E-3</c:v>
                </c:pt>
                <c:pt idx="52">
                  <c:v>4.884086772929102E-3</c:v>
                </c:pt>
                <c:pt idx="53">
                  <c:v>4.877737607340925E-3</c:v>
                </c:pt>
                <c:pt idx="54">
                  <c:v>4.8744983949157421E-3</c:v>
                </c:pt>
                <c:pt idx="55">
                  <c:v>4.8743691356535612E-3</c:v>
                </c:pt>
                <c:pt idx="56">
                  <c:v>4.8773498295543597E-3</c:v>
                </c:pt>
                <c:pt idx="57">
                  <c:v>4.8834404766181522E-3</c:v>
                </c:pt>
                <c:pt idx="58">
                  <c:v>4.8926410768449329E-3</c:v>
                </c:pt>
                <c:pt idx="59">
                  <c:v>4.9049516302347145E-3</c:v>
                </c:pt>
                <c:pt idx="60">
                  <c:v>4.9203721367874756E-3</c:v>
                </c:pt>
                <c:pt idx="61">
                  <c:v>4.9389025965032377E-3</c:v>
                </c:pt>
                <c:pt idx="62">
                  <c:v>4.9605430093819809E-3</c:v>
                </c:pt>
                <c:pt idx="63">
                  <c:v>4.9852933754237312E-3</c:v>
                </c:pt>
                <c:pt idx="64">
                  <c:v>5.0131536946284617E-3</c:v>
                </c:pt>
                <c:pt idx="65">
                  <c:v>5.0441239669961804E-3</c:v>
                </c:pt>
                <c:pt idx="66">
                  <c:v>5.0782041925268983E-3</c:v>
                </c:pt>
                <c:pt idx="67">
                  <c:v>5.1153943712206051E-3</c:v>
                </c:pt>
                <c:pt idx="68">
                  <c:v>5.1556945030773061E-3</c:v>
                </c:pt>
                <c:pt idx="69">
                  <c:v>5.1991045880969934E-3</c:v>
                </c:pt>
                <c:pt idx="70">
                  <c:v>5.2456246262796748E-3</c:v>
                </c:pt>
                <c:pt idx="71">
                  <c:v>5.2952546176253442E-3</c:v>
                </c:pt>
                <c:pt idx="72">
                  <c:v>5.3479945621340078E-3</c:v>
                </c:pt>
                <c:pt idx="73">
                  <c:v>5.4038444598056646E-3</c:v>
                </c:pt>
                <c:pt idx="74">
                  <c:v>5.4628043106403016E-3</c:v>
                </c:pt>
                <c:pt idx="75">
                  <c:v>5.5248741146379466E-3</c:v>
                </c:pt>
                <c:pt idx="76">
                  <c:v>5.5900538717985719E-3</c:v>
                </c:pt>
                <c:pt idx="77">
                  <c:v>5.6583435821221922E-3</c:v>
                </c:pt>
                <c:pt idx="78">
                  <c:v>5.7297432456088057E-3</c:v>
                </c:pt>
                <c:pt idx="79">
                  <c:v>5.8042528622584133E-3</c:v>
                </c:pt>
                <c:pt idx="80">
                  <c:v>5.881872432071002E-3</c:v>
                </c:pt>
              </c:numCache>
            </c:numRef>
          </c:val>
          <c:extLst>
            <c:ext xmlns:c16="http://schemas.microsoft.com/office/drawing/2014/chart" uri="{C3380CC4-5D6E-409C-BE32-E72D297353CC}">
              <c16:uniqueId val="{0000009E-B0BD-44B6-BED5-7CDF3E877C37}"/>
            </c:ext>
          </c:extLst>
        </c:ser>
        <c:ser>
          <c:idx val="39"/>
          <c:order val="39"/>
          <c:tx>
            <c:strRef>
              <c:f>Interpolation!$S$42</c:f>
              <c:strCache>
                <c:ptCount val="1"/>
                <c:pt idx="0">
                  <c:v>33.9</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Interpolation!$T$42:$CV$42</c:f>
              <c:numCache>
                <c:formatCode>General</c:formatCode>
                <c:ptCount val="81"/>
                <c:pt idx="0">
                  <c:v>9.4907033680948685E-3</c:v>
                </c:pt>
                <c:pt idx="1">
                  <c:v>9.3225414074484102E-3</c:v>
                </c:pt>
                <c:pt idx="2">
                  <c:v>9.1574893999649461E-3</c:v>
                </c:pt>
                <c:pt idx="3">
                  <c:v>8.9955473456444762E-3</c:v>
                </c:pt>
                <c:pt idx="4">
                  <c:v>8.8367152444870003E-3</c:v>
                </c:pt>
                <c:pt idx="5">
                  <c:v>8.6809930964925047E-3</c:v>
                </c:pt>
                <c:pt idx="6">
                  <c:v>8.5283809016610031E-3</c:v>
                </c:pt>
                <c:pt idx="7">
                  <c:v>8.3788786599924819E-3</c:v>
                </c:pt>
                <c:pt idx="8">
                  <c:v>8.2324863714869686E-3</c:v>
                </c:pt>
                <c:pt idx="9">
                  <c:v>8.0892040361444494E-3</c:v>
                </c:pt>
                <c:pt idx="10">
                  <c:v>7.9490316539649105E-3</c:v>
                </c:pt>
                <c:pt idx="11">
                  <c:v>7.8119692249483657E-3</c:v>
                </c:pt>
                <c:pt idx="12">
                  <c:v>7.6780167490948141E-3</c:v>
                </c:pt>
                <c:pt idx="13">
                  <c:v>7.5471742264042576E-3</c:v>
                </c:pt>
                <c:pt idx="14">
                  <c:v>7.4194416568766812E-3</c:v>
                </c:pt>
                <c:pt idx="15">
                  <c:v>7.294819040512106E-3</c:v>
                </c:pt>
                <c:pt idx="16">
                  <c:v>7.1733063773105179E-3</c:v>
                </c:pt>
                <c:pt idx="17">
                  <c:v>7.0549036672719161E-3</c:v>
                </c:pt>
                <c:pt idx="18">
                  <c:v>6.9396109103963162E-3</c:v>
                </c:pt>
                <c:pt idx="19">
                  <c:v>6.8274281066837035E-3</c:v>
                </c:pt>
                <c:pt idx="20">
                  <c:v>6.718355256134078E-3</c:v>
                </c:pt>
                <c:pt idx="21">
                  <c:v>6.6123923587474535E-3</c:v>
                </c:pt>
                <c:pt idx="22">
                  <c:v>6.5095394145238163E-3</c:v>
                </c:pt>
                <c:pt idx="23">
                  <c:v>6.4097964234631662E-3</c:v>
                </c:pt>
                <c:pt idx="24">
                  <c:v>6.3131633855655102E-3</c:v>
                </c:pt>
                <c:pt idx="25">
                  <c:v>6.2196403008308414E-3</c:v>
                </c:pt>
                <c:pt idx="26">
                  <c:v>6.1292271692591736E-3</c:v>
                </c:pt>
                <c:pt idx="27">
                  <c:v>6.0419239908504931E-3</c:v>
                </c:pt>
                <c:pt idx="28">
                  <c:v>5.9577307656047988E-3</c:v>
                </c:pt>
                <c:pt idx="29">
                  <c:v>5.8766474935220995E-3</c:v>
                </c:pt>
                <c:pt idx="30">
                  <c:v>5.7986741746023944E-3</c:v>
                </c:pt>
                <c:pt idx="31">
                  <c:v>5.7238108088456764E-3</c:v>
                </c:pt>
                <c:pt idx="32">
                  <c:v>5.6520573962519525E-3</c:v>
                </c:pt>
                <c:pt idx="33">
                  <c:v>5.583413936821215E-3</c:v>
                </c:pt>
                <c:pt idx="34">
                  <c:v>5.5178804305534724E-3</c:v>
                </c:pt>
                <c:pt idx="35">
                  <c:v>5.4554568774487239E-3</c:v>
                </c:pt>
                <c:pt idx="36">
                  <c:v>5.3961432775069627E-3</c:v>
                </c:pt>
                <c:pt idx="37">
                  <c:v>5.3399396307281955E-3</c:v>
                </c:pt>
                <c:pt idx="38">
                  <c:v>5.2868459371124225E-3</c:v>
                </c:pt>
                <c:pt idx="39">
                  <c:v>5.2368621966596366E-3</c:v>
                </c:pt>
                <c:pt idx="40">
                  <c:v>5.1899884093698379E-3</c:v>
                </c:pt>
                <c:pt idx="41">
                  <c:v>5.1462245752430334E-3</c:v>
                </c:pt>
                <c:pt idx="42">
                  <c:v>5.1055706942792229E-3</c:v>
                </c:pt>
                <c:pt idx="43">
                  <c:v>5.0680267664784066E-3</c:v>
                </c:pt>
                <c:pt idx="44">
                  <c:v>5.0335927918405765E-3</c:v>
                </c:pt>
                <c:pt idx="45">
                  <c:v>5.0022687703657415E-3</c:v>
                </c:pt>
                <c:pt idx="46">
                  <c:v>4.9740547020538936E-3</c:v>
                </c:pt>
                <c:pt idx="47">
                  <c:v>4.9489505869050399E-3</c:v>
                </c:pt>
                <c:pt idx="48">
                  <c:v>4.9269564249191803E-3</c:v>
                </c:pt>
                <c:pt idx="49">
                  <c:v>4.9080722160963078E-3</c:v>
                </c:pt>
                <c:pt idx="50">
                  <c:v>4.8922979604364225E-3</c:v>
                </c:pt>
                <c:pt idx="51">
                  <c:v>4.8796336579395375E-3</c:v>
                </c:pt>
                <c:pt idx="52">
                  <c:v>4.8700793086056404E-3</c:v>
                </c:pt>
                <c:pt idx="53">
                  <c:v>4.8636349124347306E-3</c:v>
                </c:pt>
                <c:pt idx="54">
                  <c:v>4.8603004694268148E-3</c:v>
                </c:pt>
                <c:pt idx="55">
                  <c:v>4.8600759795819001E-3</c:v>
                </c:pt>
                <c:pt idx="56">
                  <c:v>4.8629614428999657E-3</c:v>
                </c:pt>
                <c:pt idx="57">
                  <c:v>4.8689568593810253E-3</c:v>
                </c:pt>
                <c:pt idx="58">
                  <c:v>4.8780622290250713E-3</c:v>
                </c:pt>
                <c:pt idx="59">
                  <c:v>4.8902775518321201E-3</c:v>
                </c:pt>
                <c:pt idx="60">
                  <c:v>4.9056028278021482E-3</c:v>
                </c:pt>
                <c:pt idx="61">
                  <c:v>4.9240380569351774E-3</c:v>
                </c:pt>
                <c:pt idx="62">
                  <c:v>4.9455832392311869E-3</c:v>
                </c:pt>
                <c:pt idx="63">
                  <c:v>4.9702383746902034E-3</c:v>
                </c:pt>
                <c:pt idx="64">
                  <c:v>4.9980034633122011E-3</c:v>
                </c:pt>
                <c:pt idx="65">
                  <c:v>5.0288785050971851E-3</c:v>
                </c:pt>
                <c:pt idx="66">
                  <c:v>5.062863500045171E-3</c:v>
                </c:pt>
                <c:pt idx="67">
                  <c:v>5.0999584481561441E-3</c:v>
                </c:pt>
                <c:pt idx="68">
                  <c:v>5.1401633494301113E-3</c:v>
                </c:pt>
                <c:pt idx="69">
                  <c:v>5.1834782038670656E-3</c:v>
                </c:pt>
                <c:pt idx="70">
                  <c:v>5.2299030114670141E-3</c:v>
                </c:pt>
                <c:pt idx="71">
                  <c:v>5.2794377722299498E-3</c:v>
                </c:pt>
                <c:pt idx="72">
                  <c:v>5.3320824861558796E-3</c:v>
                </c:pt>
                <c:pt idx="73">
                  <c:v>5.3878371532448035E-3</c:v>
                </c:pt>
                <c:pt idx="74">
                  <c:v>5.4467017734967076E-3</c:v>
                </c:pt>
                <c:pt idx="75">
                  <c:v>5.5086763469116198E-3</c:v>
                </c:pt>
                <c:pt idx="76">
                  <c:v>5.5737608734895113E-3</c:v>
                </c:pt>
                <c:pt idx="77">
                  <c:v>5.6419553532303978E-3</c:v>
                </c:pt>
                <c:pt idx="78">
                  <c:v>5.7132597861342784E-3</c:v>
                </c:pt>
                <c:pt idx="79">
                  <c:v>5.7876741722011531E-3</c:v>
                </c:pt>
                <c:pt idx="80">
                  <c:v>5.8651985114310072E-3</c:v>
                </c:pt>
              </c:numCache>
            </c:numRef>
          </c:val>
          <c:extLst>
            <c:ext xmlns:c16="http://schemas.microsoft.com/office/drawing/2014/chart" uri="{C3380CC4-5D6E-409C-BE32-E72D297353CC}">
              <c16:uniqueId val="{0000009F-B0BD-44B6-BED5-7CDF3E877C37}"/>
            </c:ext>
          </c:extLst>
        </c:ser>
        <c:ser>
          <c:idx val="40"/>
          <c:order val="40"/>
          <c:tx>
            <c:strRef>
              <c:f>Interpolation!$S$43</c:f>
              <c:strCache>
                <c:ptCount val="1"/>
                <c:pt idx="0">
                  <c:v>34</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Interpolation!$T$43:$CV$43</c:f>
              <c:numCache>
                <c:formatCode>General</c:formatCode>
                <c:ptCount val="81"/>
                <c:pt idx="0">
                  <c:v>9.4825483478003653E-3</c:v>
                </c:pt>
                <c:pt idx="1">
                  <c:v>9.314291156571175E-3</c:v>
                </c:pt>
                <c:pt idx="2">
                  <c:v>9.1491439185049771E-3</c:v>
                </c:pt>
                <c:pt idx="3">
                  <c:v>8.9871066336017734E-3</c:v>
                </c:pt>
                <c:pt idx="4">
                  <c:v>8.8281793018615655E-3</c:v>
                </c:pt>
                <c:pt idx="5">
                  <c:v>8.6723619232843361E-3</c:v>
                </c:pt>
                <c:pt idx="6">
                  <c:v>8.5196544978701008E-3</c:v>
                </c:pt>
                <c:pt idx="7">
                  <c:v>8.3700570256188458E-3</c:v>
                </c:pt>
                <c:pt idx="8">
                  <c:v>8.2235695065306005E-3</c:v>
                </c:pt>
                <c:pt idx="9">
                  <c:v>8.0801919406053475E-3</c:v>
                </c:pt>
                <c:pt idx="10">
                  <c:v>7.9399243278430748E-3</c:v>
                </c:pt>
                <c:pt idx="11">
                  <c:v>7.8027666682437971E-3</c:v>
                </c:pt>
                <c:pt idx="12">
                  <c:v>7.6687189618075127E-3</c:v>
                </c:pt>
                <c:pt idx="13">
                  <c:v>7.5377812085342232E-3</c:v>
                </c:pt>
                <c:pt idx="14">
                  <c:v>7.4099534084239131E-3</c:v>
                </c:pt>
                <c:pt idx="15">
                  <c:v>7.2852355614766049E-3</c:v>
                </c:pt>
                <c:pt idx="16">
                  <c:v>7.1636276676922831E-3</c:v>
                </c:pt>
                <c:pt idx="17">
                  <c:v>7.0451297270709493E-3</c:v>
                </c:pt>
                <c:pt idx="18">
                  <c:v>6.9297417396126156E-3</c:v>
                </c:pt>
                <c:pt idx="19">
                  <c:v>6.81746370531727E-3</c:v>
                </c:pt>
                <c:pt idx="20">
                  <c:v>6.7082956241849108E-3</c:v>
                </c:pt>
                <c:pt idx="21">
                  <c:v>6.6022374962155534E-3</c:v>
                </c:pt>
                <c:pt idx="22">
                  <c:v>6.4992893214091824E-3</c:v>
                </c:pt>
                <c:pt idx="23">
                  <c:v>6.3994510997657985E-3</c:v>
                </c:pt>
                <c:pt idx="24">
                  <c:v>6.3027228312854096E-3</c:v>
                </c:pt>
                <c:pt idx="25">
                  <c:v>6.2091045159680079E-3</c:v>
                </c:pt>
                <c:pt idx="26">
                  <c:v>6.1185961538136064E-3</c:v>
                </c:pt>
                <c:pt idx="27">
                  <c:v>6.0311977448221929E-3</c:v>
                </c:pt>
                <c:pt idx="28">
                  <c:v>5.9469092889937658E-3</c:v>
                </c:pt>
                <c:pt idx="29">
                  <c:v>5.8657307863283336E-3</c:v>
                </c:pt>
                <c:pt idx="30">
                  <c:v>5.7876622368258947E-3</c:v>
                </c:pt>
                <c:pt idx="31">
                  <c:v>5.7127036404864438E-3</c:v>
                </c:pt>
                <c:pt idx="32">
                  <c:v>5.640854997309987E-3</c:v>
                </c:pt>
                <c:pt idx="33">
                  <c:v>5.5721163072965166E-3</c:v>
                </c:pt>
                <c:pt idx="34">
                  <c:v>5.5064875704460402E-3</c:v>
                </c:pt>
                <c:pt idx="35">
                  <c:v>5.4439687867585589E-3</c:v>
                </c:pt>
                <c:pt idx="36">
                  <c:v>5.3845599562340639E-3</c:v>
                </c:pt>
                <c:pt idx="37">
                  <c:v>5.3282610788725638E-3</c:v>
                </c:pt>
                <c:pt idx="38">
                  <c:v>5.275072154674057E-3</c:v>
                </c:pt>
                <c:pt idx="39">
                  <c:v>5.2249931836385382E-3</c:v>
                </c:pt>
                <c:pt idx="40">
                  <c:v>5.1780241657660058E-3</c:v>
                </c:pt>
                <c:pt idx="41">
                  <c:v>5.1341651010564683E-3</c:v>
                </c:pt>
                <c:pt idx="42">
                  <c:v>5.0934159895099241E-3</c:v>
                </c:pt>
                <c:pt idx="43">
                  <c:v>5.0557768311263749E-3</c:v>
                </c:pt>
                <c:pt idx="44">
                  <c:v>5.0212476259058119E-3</c:v>
                </c:pt>
                <c:pt idx="45">
                  <c:v>4.989828373848244E-3</c:v>
                </c:pt>
                <c:pt idx="46">
                  <c:v>4.9615190749536624E-3</c:v>
                </c:pt>
                <c:pt idx="47">
                  <c:v>4.9363197292220757E-3</c:v>
                </c:pt>
                <c:pt idx="48">
                  <c:v>4.9142303366534832E-3</c:v>
                </c:pt>
                <c:pt idx="49">
                  <c:v>4.895250897247877E-3</c:v>
                </c:pt>
                <c:pt idx="50">
                  <c:v>4.8793814110052579E-3</c:v>
                </c:pt>
                <c:pt idx="51">
                  <c:v>4.8666218779256408E-3</c:v>
                </c:pt>
                <c:pt idx="52">
                  <c:v>4.8569722980090109E-3</c:v>
                </c:pt>
                <c:pt idx="53">
                  <c:v>4.8504326712553673E-3</c:v>
                </c:pt>
                <c:pt idx="54">
                  <c:v>4.8470029976647178E-3</c:v>
                </c:pt>
                <c:pt idx="55">
                  <c:v>4.8466832772370702E-3</c:v>
                </c:pt>
                <c:pt idx="56">
                  <c:v>4.849473509972402E-3</c:v>
                </c:pt>
                <c:pt idx="57">
                  <c:v>4.8553736958707287E-3</c:v>
                </c:pt>
                <c:pt idx="58">
                  <c:v>4.8643838349320418E-3</c:v>
                </c:pt>
                <c:pt idx="59">
                  <c:v>4.8765039271563568E-3</c:v>
                </c:pt>
                <c:pt idx="60">
                  <c:v>4.8917339725436521E-3</c:v>
                </c:pt>
                <c:pt idx="61">
                  <c:v>4.9100739710939475E-3</c:v>
                </c:pt>
                <c:pt idx="62">
                  <c:v>4.9315239228072232E-3</c:v>
                </c:pt>
                <c:pt idx="63">
                  <c:v>4.9560838276835077E-3</c:v>
                </c:pt>
                <c:pt idx="64">
                  <c:v>4.9837536857227725E-3</c:v>
                </c:pt>
                <c:pt idx="65">
                  <c:v>5.0145334969250235E-3</c:v>
                </c:pt>
                <c:pt idx="66">
                  <c:v>5.0484232612902757E-3</c:v>
                </c:pt>
                <c:pt idx="67">
                  <c:v>5.085422978818515E-3</c:v>
                </c:pt>
                <c:pt idx="68">
                  <c:v>5.1255326495097493E-3</c:v>
                </c:pt>
                <c:pt idx="69">
                  <c:v>5.1687522733639708E-3</c:v>
                </c:pt>
                <c:pt idx="70">
                  <c:v>5.2150818503811855E-3</c:v>
                </c:pt>
                <c:pt idx="71">
                  <c:v>5.2645213805613874E-3</c:v>
                </c:pt>
                <c:pt idx="72">
                  <c:v>5.3170708639045852E-3</c:v>
                </c:pt>
                <c:pt idx="73">
                  <c:v>5.3727303004107753E-3</c:v>
                </c:pt>
                <c:pt idx="74">
                  <c:v>5.4314996900799465E-3</c:v>
                </c:pt>
                <c:pt idx="75">
                  <c:v>5.4933790329121249E-3</c:v>
                </c:pt>
                <c:pt idx="76">
                  <c:v>5.5583683289072844E-3</c:v>
                </c:pt>
                <c:pt idx="77">
                  <c:v>5.6264675780654371E-3</c:v>
                </c:pt>
                <c:pt idx="78">
                  <c:v>5.697676780386584E-3</c:v>
                </c:pt>
                <c:pt idx="79">
                  <c:v>5.7719959358707258E-3</c:v>
                </c:pt>
                <c:pt idx="80">
                  <c:v>5.8494250445178479E-3</c:v>
                </c:pt>
              </c:numCache>
            </c:numRef>
          </c:val>
          <c:extLst>
            <c:ext xmlns:c16="http://schemas.microsoft.com/office/drawing/2014/chart" uri="{C3380CC4-5D6E-409C-BE32-E72D297353CC}">
              <c16:uniqueId val="{000000A0-B0BD-44B6-BED5-7CDF3E877C37}"/>
            </c:ext>
          </c:extLst>
        </c:ser>
        <c:ser>
          <c:idx val="41"/>
          <c:order val="41"/>
          <c:tx>
            <c:strRef>
              <c:f>Interpolation!$S$44</c:f>
              <c:strCache>
                <c:ptCount val="1"/>
                <c:pt idx="0">
                  <c:v>34.1</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Interpolation!$T$44:$CV$44</c:f>
              <c:numCache>
                <c:formatCode>General</c:formatCode>
                <c:ptCount val="81"/>
                <c:pt idx="0">
                  <c:v>9.4752937812326819E-3</c:v>
                </c:pt>
                <c:pt idx="1">
                  <c:v>9.3069413594207562E-3</c:v>
                </c:pt>
                <c:pt idx="2">
                  <c:v>9.1416988907718263E-3</c:v>
                </c:pt>
                <c:pt idx="3">
                  <c:v>8.9795663752858888E-3</c:v>
                </c:pt>
                <c:pt idx="4">
                  <c:v>8.8205438129629471E-3</c:v>
                </c:pt>
                <c:pt idx="5">
                  <c:v>8.6646312038029857E-3</c:v>
                </c:pt>
                <c:pt idx="6">
                  <c:v>8.5118285478060166E-3</c:v>
                </c:pt>
                <c:pt idx="7">
                  <c:v>8.3621358449720296E-3</c:v>
                </c:pt>
                <c:pt idx="8">
                  <c:v>8.2155530953010487E-3</c:v>
                </c:pt>
                <c:pt idx="9">
                  <c:v>8.0720802987930638E-3</c:v>
                </c:pt>
                <c:pt idx="10">
                  <c:v>7.9317174554480573E-3</c:v>
                </c:pt>
                <c:pt idx="11">
                  <c:v>7.7944645652660467E-3</c:v>
                </c:pt>
                <c:pt idx="12">
                  <c:v>7.6603216282470294E-3</c:v>
                </c:pt>
                <c:pt idx="13">
                  <c:v>7.5292886443910061E-3</c:v>
                </c:pt>
                <c:pt idx="14">
                  <c:v>7.4013656136979631E-3</c:v>
                </c:pt>
                <c:pt idx="15">
                  <c:v>7.2765525361679212E-3</c:v>
                </c:pt>
                <c:pt idx="16">
                  <c:v>7.1548494118008673E-3</c:v>
                </c:pt>
                <c:pt idx="17">
                  <c:v>7.0362562405967988E-3</c:v>
                </c:pt>
                <c:pt idx="18">
                  <c:v>6.9207730225557332E-3</c:v>
                </c:pt>
                <c:pt idx="19">
                  <c:v>6.8083997576776538E-3</c:v>
                </c:pt>
                <c:pt idx="20">
                  <c:v>6.6991364459625617E-3</c:v>
                </c:pt>
                <c:pt idx="21">
                  <c:v>6.5929830874104705E-3</c:v>
                </c:pt>
                <c:pt idx="22">
                  <c:v>6.4899396820213666E-3</c:v>
                </c:pt>
                <c:pt idx="23">
                  <c:v>6.3900062297952498E-3</c:v>
                </c:pt>
                <c:pt idx="24">
                  <c:v>6.2931827307321272E-3</c:v>
                </c:pt>
                <c:pt idx="25">
                  <c:v>6.1994691848319926E-3</c:v>
                </c:pt>
                <c:pt idx="26">
                  <c:v>6.1088655920948582E-3</c:v>
                </c:pt>
                <c:pt idx="27">
                  <c:v>6.0213719525207109E-3</c:v>
                </c:pt>
                <c:pt idx="28">
                  <c:v>5.9369882661095509E-3</c:v>
                </c:pt>
                <c:pt idx="29">
                  <c:v>5.8557145328613849E-3</c:v>
                </c:pt>
                <c:pt idx="30">
                  <c:v>5.7775507527762131E-3</c:v>
                </c:pt>
                <c:pt idx="31">
                  <c:v>5.7024969258540293E-3</c:v>
                </c:pt>
                <c:pt idx="32">
                  <c:v>5.6305530520948388E-3</c:v>
                </c:pt>
                <c:pt idx="33">
                  <c:v>5.5617191314986355E-3</c:v>
                </c:pt>
                <c:pt idx="34">
                  <c:v>5.4959951640654262E-3</c:v>
                </c:pt>
                <c:pt idx="35">
                  <c:v>5.4333811497952111E-3</c:v>
                </c:pt>
                <c:pt idx="36">
                  <c:v>5.3738770886879832E-3</c:v>
                </c:pt>
                <c:pt idx="37">
                  <c:v>5.3174829807437493E-3</c:v>
                </c:pt>
                <c:pt idx="38">
                  <c:v>5.2641988259625096E-3</c:v>
                </c:pt>
                <c:pt idx="39">
                  <c:v>5.214024624344258E-3</c:v>
                </c:pt>
                <c:pt idx="40">
                  <c:v>5.1669603758889926E-3</c:v>
                </c:pt>
                <c:pt idx="41">
                  <c:v>5.1230060805967214E-3</c:v>
                </c:pt>
                <c:pt idx="42">
                  <c:v>5.0821617384674443E-3</c:v>
                </c:pt>
                <c:pt idx="43">
                  <c:v>5.0444273495011613E-3</c:v>
                </c:pt>
                <c:pt idx="44">
                  <c:v>5.0098029136978655E-3</c:v>
                </c:pt>
                <c:pt idx="45">
                  <c:v>4.9782884310575638E-3</c:v>
                </c:pt>
                <c:pt idx="46">
                  <c:v>4.9498839015802492E-3</c:v>
                </c:pt>
                <c:pt idx="47">
                  <c:v>4.9245893252659297E-3</c:v>
                </c:pt>
                <c:pt idx="48">
                  <c:v>4.9024047021146034E-3</c:v>
                </c:pt>
                <c:pt idx="49">
                  <c:v>4.8833300321262643E-3</c:v>
                </c:pt>
                <c:pt idx="50">
                  <c:v>4.8673653153009123E-3</c:v>
                </c:pt>
                <c:pt idx="51">
                  <c:v>4.8545105516385623E-3</c:v>
                </c:pt>
                <c:pt idx="52">
                  <c:v>4.8447657411391978E-3</c:v>
                </c:pt>
                <c:pt idx="53">
                  <c:v>4.8381308838028221E-3</c:v>
                </c:pt>
                <c:pt idx="54">
                  <c:v>4.8346059796294388E-3</c:v>
                </c:pt>
                <c:pt idx="55">
                  <c:v>4.8341910286190583E-3</c:v>
                </c:pt>
                <c:pt idx="56">
                  <c:v>4.8368860307716564E-3</c:v>
                </c:pt>
                <c:pt idx="57">
                  <c:v>4.8426909860872502E-3</c:v>
                </c:pt>
                <c:pt idx="58">
                  <c:v>4.8516058945658304E-3</c:v>
                </c:pt>
                <c:pt idx="59">
                  <c:v>4.8636307562074117E-3</c:v>
                </c:pt>
                <c:pt idx="60">
                  <c:v>4.878765571011974E-3</c:v>
                </c:pt>
                <c:pt idx="61">
                  <c:v>4.8970103389795365E-3</c:v>
                </c:pt>
                <c:pt idx="62">
                  <c:v>4.9183650601100793E-3</c:v>
                </c:pt>
                <c:pt idx="63">
                  <c:v>4.9428297344036301E-3</c:v>
                </c:pt>
                <c:pt idx="64">
                  <c:v>4.9704043618601611E-3</c:v>
                </c:pt>
                <c:pt idx="65">
                  <c:v>5.0010889424796793E-3</c:v>
                </c:pt>
                <c:pt idx="66">
                  <c:v>5.0348834762621985E-3</c:v>
                </c:pt>
                <c:pt idx="67">
                  <c:v>5.0717879632077049E-3</c:v>
                </c:pt>
                <c:pt idx="68">
                  <c:v>5.1118024033162054E-3</c:v>
                </c:pt>
                <c:pt idx="69">
                  <c:v>5.154926796587694E-3</c:v>
                </c:pt>
                <c:pt idx="70">
                  <c:v>5.201161143022175E-3</c:v>
                </c:pt>
                <c:pt idx="71">
                  <c:v>5.2505054426196449E-3</c:v>
                </c:pt>
                <c:pt idx="72">
                  <c:v>5.3029596953801088E-3</c:v>
                </c:pt>
                <c:pt idx="73">
                  <c:v>5.3585239013035652E-3</c:v>
                </c:pt>
                <c:pt idx="74">
                  <c:v>5.4171980603900036E-3</c:v>
                </c:pt>
                <c:pt idx="75">
                  <c:v>5.4789821726394482E-3</c:v>
                </c:pt>
                <c:pt idx="76">
                  <c:v>5.5438762380518748E-3</c:v>
                </c:pt>
                <c:pt idx="77">
                  <c:v>5.6118802566272937E-3</c:v>
                </c:pt>
                <c:pt idx="78">
                  <c:v>5.6829942283657085E-3</c:v>
                </c:pt>
                <c:pt idx="79">
                  <c:v>5.7572181532671166E-3</c:v>
                </c:pt>
                <c:pt idx="80">
                  <c:v>5.8345520313315049E-3</c:v>
                </c:pt>
              </c:numCache>
            </c:numRef>
          </c:val>
          <c:extLst>
            <c:ext xmlns:c16="http://schemas.microsoft.com/office/drawing/2014/chart" uri="{C3380CC4-5D6E-409C-BE32-E72D297353CC}">
              <c16:uniqueId val="{000000A1-B0BD-44B6-BED5-7CDF3E877C37}"/>
            </c:ext>
          </c:extLst>
        </c:ser>
        <c:ser>
          <c:idx val="42"/>
          <c:order val="42"/>
          <c:tx>
            <c:strRef>
              <c:f>Interpolation!$S$45</c:f>
              <c:strCache>
                <c:ptCount val="1"/>
                <c:pt idx="0">
                  <c:v>34.2</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Interpolation!$T$45:$CV$45</c:f>
              <c:numCache>
                <c:formatCode>General</c:formatCode>
                <c:ptCount val="81"/>
                <c:pt idx="0">
                  <c:v>9.468939668391815E-3</c:v>
                </c:pt>
                <c:pt idx="1">
                  <c:v>9.3004920159971572E-3</c:v>
                </c:pt>
                <c:pt idx="2">
                  <c:v>9.1351543167654935E-3</c:v>
                </c:pt>
                <c:pt idx="3">
                  <c:v>8.9729265706968223E-3</c:v>
                </c:pt>
                <c:pt idx="4">
                  <c:v>8.8138087777911468E-3</c:v>
                </c:pt>
                <c:pt idx="5">
                  <c:v>8.6578009380484516E-3</c:v>
                </c:pt>
                <c:pt idx="6">
                  <c:v>8.5049030514687506E-3</c:v>
                </c:pt>
                <c:pt idx="7">
                  <c:v>8.3551151180520297E-3</c:v>
                </c:pt>
                <c:pt idx="8">
                  <c:v>8.2084371377983169E-3</c:v>
                </c:pt>
                <c:pt idx="9">
                  <c:v>8.0648691107075982E-3</c:v>
                </c:pt>
                <c:pt idx="10">
                  <c:v>7.9244110367798597E-3</c:v>
                </c:pt>
                <c:pt idx="11">
                  <c:v>7.7870629160151144E-3</c:v>
                </c:pt>
                <c:pt idx="12">
                  <c:v>7.6528247484133642E-3</c:v>
                </c:pt>
                <c:pt idx="13">
                  <c:v>7.5216965339746072E-3</c:v>
                </c:pt>
                <c:pt idx="14">
                  <c:v>7.3936782726988313E-3</c:v>
                </c:pt>
                <c:pt idx="15">
                  <c:v>7.2687699645860564E-3</c:v>
                </c:pt>
                <c:pt idx="16">
                  <c:v>7.1469716096362688E-3</c:v>
                </c:pt>
                <c:pt idx="17">
                  <c:v>7.0282832078494683E-3</c:v>
                </c:pt>
                <c:pt idx="18">
                  <c:v>6.912704759225668E-3</c:v>
                </c:pt>
                <c:pt idx="19">
                  <c:v>6.8002362637648557E-3</c:v>
                </c:pt>
                <c:pt idx="20">
                  <c:v>6.6908777214670307E-3</c:v>
                </c:pt>
                <c:pt idx="21">
                  <c:v>6.5846291323322067E-3</c:v>
                </c:pt>
                <c:pt idx="22">
                  <c:v>6.4814904963603689E-3</c:v>
                </c:pt>
                <c:pt idx="23">
                  <c:v>6.3814618135515193E-3</c:v>
                </c:pt>
                <c:pt idx="24">
                  <c:v>6.2845430839056637E-3</c:v>
                </c:pt>
                <c:pt idx="25">
                  <c:v>6.1907343074227954E-3</c:v>
                </c:pt>
                <c:pt idx="26">
                  <c:v>6.1000354841029281E-3</c:v>
                </c:pt>
                <c:pt idx="27">
                  <c:v>6.0124466139460479E-3</c:v>
                </c:pt>
                <c:pt idx="28">
                  <c:v>5.9279676969521541E-3</c:v>
                </c:pt>
                <c:pt idx="29">
                  <c:v>5.8465987331212553E-3</c:v>
                </c:pt>
                <c:pt idx="30">
                  <c:v>5.7683397224533497E-3</c:v>
                </c:pt>
                <c:pt idx="31">
                  <c:v>5.6931906649484321E-3</c:v>
                </c:pt>
                <c:pt idx="32">
                  <c:v>5.6211515606065087E-3</c:v>
                </c:pt>
                <c:pt idx="33">
                  <c:v>5.5522224094275725E-3</c:v>
                </c:pt>
                <c:pt idx="34">
                  <c:v>5.4864032114116303E-3</c:v>
                </c:pt>
                <c:pt idx="35">
                  <c:v>5.4236939665586814E-3</c:v>
                </c:pt>
                <c:pt idx="36">
                  <c:v>5.3640946748687206E-3</c:v>
                </c:pt>
                <c:pt idx="37">
                  <c:v>5.3076053363417539E-3</c:v>
                </c:pt>
                <c:pt idx="38">
                  <c:v>5.2542259509777813E-3</c:v>
                </c:pt>
                <c:pt idx="39">
                  <c:v>5.203956518776795E-3</c:v>
                </c:pt>
                <c:pt idx="40">
                  <c:v>5.1567970397387967E-3</c:v>
                </c:pt>
                <c:pt idx="41">
                  <c:v>5.1127475138637926E-3</c:v>
                </c:pt>
                <c:pt idx="42">
                  <c:v>5.0718079411517826E-3</c:v>
                </c:pt>
                <c:pt idx="43">
                  <c:v>5.0339783216027667E-3</c:v>
                </c:pt>
                <c:pt idx="44">
                  <c:v>4.9992586552167371E-3</c:v>
                </c:pt>
                <c:pt idx="45">
                  <c:v>4.9676489419937025E-3</c:v>
                </c:pt>
                <c:pt idx="46">
                  <c:v>4.9391491819336542E-3</c:v>
                </c:pt>
                <c:pt idx="47">
                  <c:v>4.9137593750366018E-3</c:v>
                </c:pt>
                <c:pt idx="48">
                  <c:v>4.8914795213025417E-3</c:v>
                </c:pt>
                <c:pt idx="49">
                  <c:v>4.8723096207314697E-3</c:v>
                </c:pt>
                <c:pt idx="50">
                  <c:v>4.8562496733233849E-3</c:v>
                </c:pt>
                <c:pt idx="51">
                  <c:v>4.8432996790783011E-3</c:v>
                </c:pt>
                <c:pt idx="52">
                  <c:v>4.8334596379962045E-3</c:v>
                </c:pt>
                <c:pt idx="53">
                  <c:v>4.8267295500770942E-3</c:v>
                </c:pt>
                <c:pt idx="54">
                  <c:v>4.8231094153209789E-3</c:v>
                </c:pt>
                <c:pt idx="55">
                  <c:v>4.8225992337278646E-3</c:v>
                </c:pt>
                <c:pt idx="56">
                  <c:v>4.8251990052977298E-3</c:v>
                </c:pt>
                <c:pt idx="57">
                  <c:v>4.8309087300305899E-3</c:v>
                </c:pt>
                <c:pt idx="58">
                  <c:v>4.8397284079264372E-3</c:v>
                </c:pt>
                <c:pt idx="59">
                  <c:v>4.8516580389852855E-3</c:v>
                </c:pt>
                <c:pt idx="60">
                  <c:v>4.8666976232071141E-3</c:v>
                </c:pt>
                <c:pt idx="61">
                  <c:v>4.8848471605919437E-3</c:v>
                </c:pt>
                <c:pt idx="62">
                  <c:v>4.9061066511397536E-3</c:v>
                </c:pt>
                <c:pt idx="63">
                  <c:v>4.9304760948505706E-3</c:v>
                </c:pt>
                <c:pt idx="64">
                  <c:v>4.9579554917243687E-3</c:v>
                </c:pt>
                <c:pt idx="65">
                  <c:v>4.9885448417611531E-3</c:v>
                </c:pt>
                <c:pt idx="66">
                  <c:v>5.0222441449609394E-3</c:v>
                </c:pt>
                <c:pt idx="67">
                  <c:v>5.059053401323713E-3</c:v>
                </c:pt>
                <c:pt idx="68">
                  <c:v>5.0989726108494806E-3</c:v>
                </c:pt>
                <c:pt idx="69">
                  <c:v>5.1420017735382345E-3</c:v>
                </c:pt>
                <c:pt idx="70">
                  <c:v>5.1881408893899835E-3</c:v>
                </c:pt>
                <c:pt idx="71">
                  <c:v>5.2373899584047187E-3</c:v>
                </c:pt>
                <c:pt idx="72">
                  <c:v>5.2897489805824498E-3</c:v>
                </c:pt>
                <c:pt idx="73">
                  <c:v>5.3452179559231741E-3</c:v>
                </c:pt>
                <c:pt idx="74">
                  <c:v>5.4037968844268779E-3</c:v>
                </c:pt>
                <c:pt idx="75">
                  <c:v>5.4654857660935904E-3</c:v>
                </c:pt>
                <c:pt idx="76">
                  <c:v>5.5302846009232833E-3</c:v>
                </c:pt>
                <c:pt idx="77">
                  <c:v>5.5981933889159702E-3</c:v>
                </c:pt>
                <c:pt idx="78">
                  <c:v>5.6692121300716504E-3</c:v>
                </c:pt>
                <c:pt idx="79">
                  <c:v>5.7433408243903255E-3</c:v>
                </c:pt>
                <c:pt idx="80">
                  <c:v>5.8205794718719801E-3</c:v>
                </c:pt>
              </c:numCache>
            </c:numRef>
          </c:val>
          <c:extLst>
            <c:ext xmlns:c16="http://schemas.microsoft.com/office/drawing/2014/chart" uri="{C3380CC4-5D6E-409C-BE32-E72D297353CC}">
              <c16:uniqueId val="{000000A2-B0BD-44B6-BED5-7CDF3E877C37}"/>
            </c:ext>
          </c:extLst>
        </c:ser>
        <c:ser>
          <c:idx val="43"/>
          <c:order val="43"/>
          <c:tx>
            <c:strRef>
              <c:f>Interpolation!$S$46</c:f>
              <c:strCache>
                <c:ptCount val="1"/>
                <c:pt idx="0">
                  <c:v>34.3</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Interpolation!$T$46:$CV$46</c:f>
              <c:numCache>
                <c:formatCode>General</c:formatCode>
                <c:ptCount val="81"/>
                <c:pt idx="0">
                  <c:v>9.4634860092777662E-3</c:v>
                </c:pt>
                <c:pt idx="1">
                  <c:v>9.2949431263003746E-3</c:v>
                </c:pt>
                <c:pt idx="2">
                  <c:v>9.1295101964859772E-3</c:v>
                </c:pt>
                <c:pt idx="3">
                  <c:v>8.9671872198345756E-3</c:v>
                </c:pt>
                <c:pt idx="4">
                  <c:v>8.8079741963461664E-3</c:v>
                </c:pt>
                <c:pt idx="5">
                  <c:v>8.6518711260207375E-3</c:v>
                </c:pt>
                <c:pt idx="6">
                  <c:v>8.4988780088583026E-3</c:v>
                </c:pt>
                <c:pt idx="7">
                  <c:v>8.348994844858848E-3</c:v>
                </c:pt>
                <c:pt idx="8">
                  <c:v>8.2022216340224031E-3</c:v>
                </c:pt>
                <c:pt idx="9">
                  <c:v>8.0585583763489507E-3</c:v>
                </c:pt>
                <c:pt idx="10">
                  <c:v>7.9180050718384784E-3</c:v>
                </c:pt>
                <c:pt idx="11">
                  <c:v>7.7805617204910003E-3</c:v>
                </c:pt>
                <c:pt idx="12">
                  <c:v>7.6462283223065171E-3</c:v>
                </c:pt>
                <c:pt idx="13">
                  <c:v>7.5150048772850272E-3</c:v>
                </c:pt>
                <c:pt idx="14">
                  <c:v>7.3868913854265184E-3</c:v>
                </c:pt>
                <c:pt idx="15">
                  <c:v>7.2618878467310098E-3</c:v>
                </c:pt>
                <c:pt idx="16">
                  <c:v>7.1399942611984884E-3</c:v>
                </c:pt>
                <c:pt idx="17">
                  <c:v>7.021210628828955E-3</c:v>
                </c:pt>
                <c:pt idx="18">
                  <c:v>6.9055369496224218E-3</c:v>
                </c:pt>
                <c:pt idx="19">
                  <c:v>6.7929732235788767E-3</c:v>
                </c:pt>
                <c:pt idx="20">
                  <c:v>6.6835194506983178E-3</c:v>
                </c:pt>
                <c:pt idx="21">
                  <c:v>6.57717563098076E-3</c:v>
                </c:pt>
                <c:pt idx="22">
                  <c:v>6.4739417644261903E-3</c:v>
                </c:pt>
                <c:pt idx="23">
                  <c:v>6.3738178510346069E-3</c:v>
                </c:pt>
                <c:pt idx="24">
                  <c:v>6.2768038908060184E-3</c:v>
                </c:pt>
                <c:pt idx="25">
                  <c:v>6.1828998837404163E-3</c:v>
                </c:pt>
                <c:pt idx="26">
                  <c:v>6.0921058298378152E-3</c:v>
                </c:pt>
                <c:pt idx="27">
                  <c:v>6.0044217290982022E-3</c:v>
                </c:pt>
                <c:pt idx="28">
                  <c:v>5.9198475815215755E-3</c:v>
                </c:pt>
                <c:pt idx="29">
                  <c:v>5.8383833871079437E-3</c:v>
                </c:pt>
                <c:pt idx="30">
                  <c:v>5.7600291458573052E-3</c:v>
                </c:pt>
                <c:pt idx="31">
                  <c:v>5.6847848577696548E-3</c:v>
                </c:pt>
                <c:pt idx="32">
                  <c:v>5.6126505228449976E-3</c:v>
                </c:pt>
                <c:pt idx="33">
                  <c:v>5.5436261410833276E-3</c:v>
                </c:pt>
                <c:pt idx="34">
                  <c:v>5.4777117124846526E-3</c:v>
                </c:pt>
                <c:pt idx="35">
                  <c:v>5.4149072370489708E-3</c:v>
                </c:pt>
                <c:pt idx="36">
                  <c:v>5.3552127147762762E-3</c:v>
                </c:pt>
                <c:pt idx="37">
                  <c:v>5.2986281456665766E-3</c:v>
                </c:pt>
                <c:pt idx="38">
                  <c:v>5.2451535297198702E-3</c:v>
                </c:pt>
                <c:pt idx="39">
                  <c:v>5.1947888669361519E-3</c:v>
                </c:pt>
                <c:pt idx="40">
                  <c:v>5.1475341573154199E-3</c:v>
                </c:pt>
                <c:pt idx="41">
                  <c:v>5.103389400857682E-3</c:v>
                </c:pt>
                <c:pt idx="42">
                  <c:v>5.062354597562939E-3</c:v>
                </c:pt>
                <c:pt idx="43">
                  <c:v>5.0244297474311894E-3</c:v>
                </c:pt>
                <c:pt idx="44">
                  <c:v>4.9896148504624278E-3</c:v>
                </c:pt>
                <c:pt idx="45">
                  <c:v>4.9579099066566594E-3</c:v>
                </c:pt>
                <c:pt idx="46">
                  <c:v>4.9293149160138782E-3</c:v>
                </c:pt>
                <c:pt idx="47">
                  <c:v>4.903829878534092E-3</c:v>
                </c:pt>
                <c:pt idx="48">
                  <c:v>4.8814547942172999E-3</c:v>
                </c:pt>
                <c:pt idx="49">
                  <c:v>4.8621896630634941E-3</c:v>
                </c:pt>
                <c:pt idx="50">
                  <c:v>4.8460344850726755E-3</c:v>
                </c:pt>
                <c:pt idx="51">
                  <c:v>4.832989260244858E-3</c:v>
                </c:pt>
                <c:pt idx="52">
                  <c:v>4.8230539885800285E-3</c:v>
                </c:pt>
                <c:pt idx="53">
                  <c:v>4.8162286700781853E-3</c:v>
                </c:pt>
                <c:pt idx="54">
                  <c:v>4.8125133047393371E-3</c:v>
                </c:pt>
                <c:pt idx="55">
                  <c:v>4.8119078925634891E-3</c:v>
                </c:pt>
                <c:pt idx="56">
                  <c:v>4.8144124335506213E-3</c:v>
                </c:pt>
                <c:pt idx="57">
                  <c:v>4.8200269277007476E-3</c:v>
                </c:pt>
                <c:pt idx="58">
                  <c:v>4.828751375013862E-3</c:v>
                </c:pt>
                <c:pt idx="59">
                  <c:v>4.8405857754899775E-3</c:v>
                </c:pt>
                <c:pt idx="60">
                  <c:v>4.8555301291290723E-3</c:v>
                </c:pt>
                <c:pt idx="61">
                  <c:v>4.873584435931169E-3</c:v>
                </c:pt>
                <c:pt idx="62">
                  <c:v>4.8947486958962451E-3</c:v>
                </c:pt>
                <c:pt idx="63">
                  <c:v>4.9190229090243301E-3</c:v>
                </c:pt>
                <c:pt idx="64">
                  <c:v>4.9464070753153944E-3</c:v>
                </c:pt>
                <c:pt idx="65">
                  <c:v>4.976901194769446E-3</c:v>
                </c:pt>
                <c:pt idx="66">
                  <c:v>5.0105052673864985E-3</c:v>
                </c:pt>
                <c:pt idx="67">
                  <c:v>5.0472192931665383E-3</c:v>
                </c:pt>
                <c:pt idx="68">
                  <c:v>5.087043272109573E-3</c:v>
                </c:pt>
                <c:pt idx="69">
                  <c:v>5.1299772042155949E-3</c:v>
                </c:pt>
                <c:pt idx="70">
                  <c:v>5.1760210894846101E-3</c:v>
                </c:pt>
                <c:pt idx="71">
                  <c:v>5.2251749279166124E-3</c:v>
                </c:pt>
                <c:pt idx="72">
                  <c:v>5.2774387195116106E-3</c:v>
                </c:pt>
                <c:pt idx="73">
                  <c:v>5.3328124642696012E-3</c:v>
                </c:pt>
                <c:pt idx="74">
                  <c:v>5.391296162190572E-3</c:v>
                </c:pt>
                <c:pt idx="75">
                  <c:v>5.4528898132745508E-3</c:v>
                </c:pt>
                <c:pt idx="76">
                  <c:v>5.5175934175215099E-3</c:v>
                </c:pt>
                <c:pt idx="77">
                  <c:v>5.5854069749314639E-3</c:v>
                </c:pt>
                <c:pt idx="78">
                  <c:v>5.6563304855044112E-3</c:v>
                </c:pt>
                <c:pt idx="79">
                  <c:v>5.7303639492403535E-3</c:v>
                </c:pt>
                <c:pt idx="80">
                  <c:v>5.8075073661392751E-3</c:v>
                </c:pt>
              </c:numCache>
            </c:numRef>
          </c:val>
          <c:extLst>
            <c:ext xmlns:c16="http://schemas.microsoft.com/office/drawing/2014/chart" uri="{C3380CC4-5D6E-409C-BE32-E72D297353CC}">
              <c16:uniqueId val="{000000A3-B0BD-44B6-BED5-7CDF3E877C37}"/>
            </c:ext>
          </c:extLst>
        </c:ser>
        <c:ser>
          <c:idx val="44"/>
          <c:order val="44"/>
          <c:tx>
            <c:strRef>
              <c:f>Interpolation!$S$47</c:f>
              <c:strCache>
                <c:ptCount val="1"/>
                <c:pt idx="0">
                  <c:v>34.4</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Interpolation!$T$47:$CV$47</c:f>
              <c:numCache>
                <c:formatCode>General</c:formatCode>
                <c:ptCount val="81"/>
                <c:pt idx="0">
                  <c:v>9.4589328038905355E-3</c:v>
                </c:pt>
                <c:pt idx="1">
                  <c:v>9.2902946903304119E-3</c:v>
                </c:pt>
                <c:pt idx="2">
                  <c:v>9.1247665299332807E-3</c:v>
                </c:pt>
                <c:pt idx="3">
                  <c:v>8.9623483226991454E-3</c:v>
                </c:pt>
                <c:pt idx="4">
                  <c:v>8.8030400686280024E-3</c:v>
                </c:pt>
                <c:pt idx="5">
                  <c:v>8.6468417677198414E-3</c:v>
                </c:pt>
                <c:pt idx="6">
                  <c:v>8.4937534199746728E-3</c:v>
                </c:pt>
                <c:pt idx="7">
                  <c:v>8.3437750253924862E-3</c:v>
                </c:pt>
                <c:pt idx="8">
                  <c:v>8.1969065839733058E-3</c:v>
                </c:pt>
                <c:pt idx="9">
                  <c:v>8.0531480957171213E-3</c:v>
                </c:pt>
                <c:pt idx="10">
                  <c:v>7.9124995606239153E-3</c:v>
                </c:pt>
                <c:pt idx="11">
                  <c:v>7.7749609786937051E-3</c:v>
                </c:pt>
                <c:pt idx="12">
                  <c:v>7.6405323499264882E-3</c:v>
                </c:pt>
                <c:pt idx="13">
                  <c:v>7.5092136743222654E-3</c:v>
                </c:pt>
                <c:pt idx="14">
                  <c:v>7.3810049518810228E-3</c:v>
                </c:pt>
                <c:pt idx="15">
                  <c:v>7.2559061826027813E-3</c:v>
                </c:pt>
                <c:pt idx="16">
                  <c:v>7.133917366487527E-3</c:v>
                </c:pt>
                <c:pt idx="17">
                  <c:v>7.0150385035352598E-3</c:v>
                </c:pt>
                <c:pt idx="18">
                  <c:v>6.8992695937459938E-3</c:v>
                </c:pt>
                <c:pt idx="19">
                  <c:v>6.7866106371197148E-3</c:v>
                </c:pt>
                <c:pt idx="20">
                  <c:v>6.6770616336564231E-3</c:v>
                </c:pt>
                <c:pt idx="21">
                  <c:v>6.5706225833561324E-3</c:v>
                </c:pt>
                <c:pt idx="22">
                  <c:v>6.4672934862188289E-3</c:v>
                </c:pt>
                <c:pt idx="23">
                  <c:v>6.3670743422445126E-3</c:v>
                </c:pt>
                <c:pt idx="24">
                  <c:v>6.2699651514331904E-3</c:v>
                </c:pt>
                <c:pt idx="25">
                  <c:v>6.1759659137848553E-3</c:v>
                </c:pt>
                <c:pt idx="26">
                  <c:v>6.0850766292995214E-3</c:v>
                </c:pt>
                <c:pt idx="27">
                  <c:v>5.9972972979771746E-3</c:v>
                </c:pt>
                <c:pt idx="28">
                  <c:v>5.912627919817815E-3</c:v>
                </c:pt>
                <c:pt idx="29">
                  <c:v>5.8310684948214495E-3</c:v>
                </c:pt>
                <c:pt idx="30">
                  <c:v>5.7526190229880781E-3</c:v>
                </c:pt>
                <c:pt idx="31">
                  <c:v>5.6772795043176939E-3</c:v>
                </c:pt>
                <c:pt idx="32">
                  <c:v>5.6050499388103046E-3</c:v>
                </c:pt>
                <c:pt idx="33">
                  <c:v>5.5359303264659009E-3</c:v>
                </c:pt>
                <c:pt idx="34">
                  <c:v>5.4699206672844921E-3</c:v>
                </c:pt>
                <c:pt idx="35">
                  <c:v>5.4070209612660774E-3</c:v>
                </c:pt>
                <c:pt idx="36">
                  <c:v>5.3472312084106507E-3</c:v>
                </c:pt>
                <c:pt idx="37">
                  <c:v>5.2905514087182165E-3</c:v>
                </c:pt>
                <c:pt idx="38">
                  <c:v>5.2369815621887781E-3</c:v>
                </c:pt>
                <c:pt idx="39">
                  <c:v>5.1865216688223251E-3</c:v>
                </c:pt>
                <c:pt idx="40">
                  <c:v>5.1391717286188611E-3</c:v>
                </c:pt>
                <c:pt idx="41">
                  <c:v>5.0949317415783894E-3</c:v>
                </c:pt>
                <c:pt idx="42">
                  <c:v>5.0538017077009136E-3</c:v>
                </c:pt>
                <c:pt idx="43">
                  <c:v>5.0157816269864311E-3</c:v>
                </c:pt>
                <c:pt idx="44">
                  <c:v>4.9808714994349357E-3</c:v>
                </c:pt>
                <c:pt idx="45">
                  <c:v>4.9490713250464335E-3</c:v>
                </c:pt>
                <c:pt idx="46">
                  <c:v>4.9203811038209203E-3</c:v>
                </c:pt>
                <c:pt idx="47">
                  <c:v>4.8948008357584004E-3</c:v>
                </c:pt>
                <c:pt idx="48">
                  <c:v>4.8723305208588745E-3</c:v>
                </c:pt>
                <c:pt idx="49">
                  <c:v>4.8529701591223358E-3</c:v>
                </c:pt>
                <c:pt idx="50">
                  <c:v>4.8367197505487843E-3</c:v>
                </c:pt>
                <c:pt idx="51">
                  <c:v>4.8235792951382339E-3</c:v>
                </c:pt>
                <c:pt idx="52">
                  <c:v>4.8135487928906706E-3</c:v>
                </c:pt>
                <c:pt idx="53">
                  <c:v>4.8066282438060945E-3</c:v>
                </c:pt>
                <c:pt idx="54">
                  <c:v>4.8028176478845126E-3</c:v>
                </c:pt>
                <c:pt idx="55">
                  <c:v>4.8021170051259316E-3</c:v>
                </c:pt>
                <c:pt idx="56">
                  <c:v>4.804526315530331E-3</c:v>
                </c:pt>
                <c:pt idx="57">
                  <c:v>4.8100455790977244E-3</c:v>
                </c:pt>
                <c:pt idx="58">
                  <c:v>4.818674795828105E-3</c:v>
                </c:pt>
                <c:pt idx="59">
                  <c:v>4.8304139657214876E-3</c:v>
                </c:pt>
                <c:pt idx="60">
                  <c:v>4.8452630887778486E-3</c:v>
                </c:pt>
                <c:pt idx="61">
                  <c:v>4.8632221649972125E-3</c:v>
                </c:pt>
                <c:pt idx="62">
                  <c:v>4.8842911943795548E-3</c:v>
                </c:pt>
                <c:pt idx="63">
                  <c:v>4.9084701769249069E-3</c:v>
                </c:pt>
                <c:pt idx="64">
                  <c:v>4.9357591126332374E-3</c:v>
                </c:pt>
                <c:pt idx="65">
                  <c:v>4.9661580015045561E-3</c:v>
                </c:pt>
                <c:pt idx="66">
                  <c:v>4.9996668435388757E-3</c:v>
                </c:pt>
                <c:pt idx="67">
                  <c:v>5.0362856387361826E-3</c:v>
                </c:pt>
                <c:pt idx="68">
                  <c:v>5.0760143870964836E-3</c:v>
                </c:pt>
                <c:pt idx="69">
                  <c:v>5.1188530886197726E-3</c:v>
                </c:pt>
                <c:pt idx="70">
                  <c:v>5.164801743306054E-3</c:v>
                </c:pt>
                <c:pt idx="71">
                  <c:v>5.2138603511553243E-3</c:v>
                </c:pt>
                <c:pt idx="72">
                  <c:v>5.2660289121675878E-3</c:v>
                </c:pt>
                <c:pt idx="73">
                  <c:v>5.3213074263428455E-3</c:v>
                </c:pt>
                <c:pt idx="74">
                  <c:v>5.3796958936810834E-3</c:v>
                </c:pt>
                <c:pt idx="75">
                  <c:v>5.4411943141823294E-3</c:v>
                </c:pt>
                <c:pt idx="76">
                  <c:v>5.5058026878465546E-3</c:v>
                </c:pt>
                <c:pt idx="77">
                  <c:v>5.5735210146737758E-3</c:v>
                </c:pt>
                <c:pt idx="78">
                  <c:v>5.6443492946639893E-3</c:v>
                </c:pt>
                <c:pt idx="79">
                  <c:v>5.7182875278171987E-3</c:v>
                </c:pt>
                <c:pt idx="80">
                  <c:v>5.7953357141333865E-3</c:v>
                </c:pt>
              </c:numCache>
            </c:numRef>
          </c:val>
          <c:extLst>
            <c:ext xmlns:c16="http://schemas.microsoft.com/office/drawing/2014/chart" uri="{C3380CC4-5D6E-409C-BE32-E72D297353CC}">
              <c16:uniqueId val="{000000A4-B0BD-44B6-BED5-7CDF3E877C37}"/>
            </c:ext>
          </c:extLst>
        </c:ser>
        <c:ser>
          <c:idx val="45"/>
          <c:order val="45"/>
          <c:tx>
            <c:strRef>
              <c:f>Interpolation!$S$48</c:f>
              <c:strCache>
                <c:ptCount val="1"/>
                <c:pt idx="0">
                  <c:v>34.5</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Interpolation!$T$48:$CV$48</c:f>
              <c:numCache>
                <c:formatCode>General</c:formatCode>
                <c:ptCount val="81"/>
                <c:pt idx="0">
                  <c:v>9.4552800522301091E-3</c:v>
                </c:pt>
                <c:pt idx="1">
                  <c:v>9.2865467080872517E-3</c:v>
                </c:pt>
                <c:pt idx="2">
                  <c:v>9.1209233171073885E-3</c:v>
                </c:pt>
                <c:pt idx="3">
                  <c:v>8.9584098792905194E-3</c:v>
                </c:pt>
                <c:pt idx="4">
                  <c:v>8.7990063946366444E-3</c:v>
                </c:pt>
                <c:pt idx="5">
                  <c:v>8.6427128631457496E-3</c:v>
                </c:pt>
                <c:pt idx="6">
                  <c:v>8.4895292848178473E-3</c:v>
                </c:pt>
                <c:pt idx="7">
                  <c:v>8.3394556596529269E-3</c:v>
                </c:pt>
                <c:pt idx="8">
                  <c:v>8.1924919876510145E-3</c:v>
                </c:pt>
                <c:pt idx="9">
                  <c:v>8.0486382688120962E-3</c:v>
                </c:pt>
                <c:pt idx="10">
                  <c:v>7.9078945031361581E-3</c:v>
                </c:pt>
                <c:pt idx="11">
                  <c:v>7.7702606906232133E-3</c:v>
                </c:pt>
                <c:pt idx="12">
                  <c:v>7.6357368312732626E-3</c:v>
                </c:pt>
                <c:pt idx="13">
                  <c:v>7.5043229250863069E-3</c:v>
                </c:pt>
                <c:pt idx="14">
                  <c:v>7.3760189720623315E-3</c:v>
                </c:pt>
                <c:pt idx="15">
                  <c:v>7.2508249722013571E-3</c:v>
                </c:pt>
                <c:pt idx="16">
                  <c:v>7.128740925503369E-3</c:v>
                </c:pt>
                <c:pt idx="17">
                  <c:v>7.0097668319683689E-3</c:v>
                </c:pt>
                <c:pt idx="18">
                  <c:v>6.8939026915963691E-3</c:v>
                </c:pt>
                <c:pt idx="19">
                  <c:v>6.7811485043873573E-3</c:v>
                </c:pt>
                <c:pt idx="20">
                  <c:v>6.6715042703413326E-3</c:v>
                </c:pt>
                <c:pt idx="21">
                  <c:v>6.564969989458309E-3</c:v>
                </c:pt>
                <c:pt idx="22">
                  <c:v>6.4615456617382718E-3</c:v>
                </c:pt>
                <c:pt idx="23">
                  <c:v>6.3612312871812226E-3</c:v>
                </c:pt>
                <c:pt idx="24">
                  <c:v>6.2640268657871666E-3</c:v>
                </c:pt>
                <c:pt idx="25">
                  <c:v>6.1699323975560987E-3</c:v>
                </c:pt>
                <c:pt idx="26">
                  <c:v>6.0789478824880318E-3</c:v>
                </c:pt>
                <c:pt idx="27">
                  <c:v>5.9910733205829521E-3</c:v>
                </c:pt>
                <c:pt idx="28">
                  <c:v>5.9063087118408587E-3</c:v>
                </c:pt>
                <c:pt idx="29">
                  <c:v>5.8246540562617603E-3</c:v>
                </c:pt>
                <c:pt idx="30">
                  <c:v>5.7461093538456551E-3</c:v>
                </c:pt>
                <c:pt idx="31">
                  <c:v>5.670674604592538E-3</c:v>
                </c:pt>
                <c:pt idx="32">
                  <c:v>5.5983498085024151E-3</c:v>
                </c:pt>
                <c:pt idx="33">
                  <c:v>5.5291349655752784E-3</c:v>
                </c:pt>
                <c:pt idx="34">
                  <c:v>5.4630300758111367E-3</c:v>
                </c:pt>
                <c:pt idx="35">
                  <c:v>5.4000351392099891E-3</c:v>
                </c:pt>
                <c:pt idx="36">
                  <c:v>5.3401501557718278E-3</c:v>
                </c:pt>
                <c:pt idx="37">
                  <c:v>5.2833751254966616E-3</c:v>
                </c:pt>
                <c:pt idx="38">
                  <c:v>5.2297100483844894E-3</c:v>
                </c:pt>
                <c:pt idx="39">
                  <c:v>5.1791549244353044E-3</c:v>
                </c:pt>
                <c:pt idx="40">
                  <c:v>5.1317097536491057E-3</c:v>
                </c:pt>
                <c:pt idx="41">
                  <c:v>5.087374536025902E-3</c:v>
                </c:pt>
                <c:pt idx="42">
                  <c:v>5.0461492715656916E-3</c:v>
                </c:pt>
                <c:pt idx="43">
                  <c:v>5.0080339602684761E-3</c:v>
                </c:pt>
                <c:pt idx="44">
                  <c:v>4.9730286021342478E-3</c:v>
                </c:pt>
                <c:pt idx="45">
                  <c:v>4.9411331971630128E-3</c:v>
                </c:pt>
                <c:pt idx="46">
                  <c:v>4.9123477453547658E-3</c:v>
                </c:pt>
                <c:pt idx="47">
                  <c:v>4.886672246709513E-3</c:v>
                </c:pt>
                <c:pt idx="48">
                  <c:v>4.8641067012272533E-3</c:v>
                </c:pt>
                <c:pt idx="49">
                  <c:v>4.8446511089079818E-3</c:v>
                </c:pt>
                <c:pt idx="50">
                  <c:v>4.8283054697516974E-3</c:v>
                </c:pt>
                <c:pt idx="51">
                  <c:v>4.815069783758414E-3</c:v>
                </c:pt>
                <c:pt idx="52">
                  <c:v>4.804944050928117E-3</c:v>
                </c:pt>
                <c:pt idx="53">
                  <c:v>4.7979282712608071E-3</c:v>
                </c:pt>
                <c:pt idx="54">
                  <c:v>4.7940224447564923E-3</c:v>
                </c:pt>
                <c:pt idx="55">
                  <c:v>4.7932265714151785E-3</c:v>
                </c:pt>
                <c:pt idx="56">
                  <c:v>4.7955406512368449E-3</c:v>
                </c:pt>
                <c:pt idx="57">
                  <c:v>4.8009646842215046E-3</c:v>
                </c:pt>
                <c:pt idx="58">
                  <c:v>4.8094986703691514E-3</c:v>
                </c:pt>
                <c:pt idx="59">
                  <c:v>4.8211426096798011E-3</c:v>
                </c:pt>
                <c:pt idx="60">
                  <c:v>4.8358965021534292E-3</c:v>
                </c:pt>
                <c:pt idx="61">
                  <c:v>4.8537603477900593E-3</c:v>
                </c:pt>
                <c:pt idx="62">
                  <c:v>4.8747341465896696E-3</c:v>
                </c:pt>
                <c:pt idx="63">
                  <c:v>4.8988178985522879E-3</c:v>
                </c:pt>
                <c:pt idx="64">
                  <c:v>4.9260116036778856E-3</c:v>
                </c:pt>
                <c:pt idx="65">
                  <c:v>4.9563152619664704E-3</c:v>
                </c:pt>
                <c:pt idx="66">
                  <c:v>4.9897288734180572E-3</c:v>
                </c:pt>
                <c:pt idx="67">
                  <c:v>5.0262524380326312E-3</c:v>
                </c:pt>
                <c:pt idx="68">
                  <c:v>5.0658859558101992E-3</c:v>
                </c:pt>
                <c:pt idx="69">
                  <c:v>5.1086294267507536E-3</c:v>
                </c:pt>
                <c:pt idx="70">
                  <c:v>5.1544828508543021E-3</c:v>
                </c:pt>
                <c:pt idx="71">
                  <c:v>5.2034462281208387E-3</c:v>
                </c:pt>
                <c:pt idx="72">
                  <c:v>5.2555195585503693E-3</c:v>
                </c:pt>
                <c:pt idx="73">
                  <c:v>5.3107028421428941E-3</c:v>
                </c:pt>
                <c:pt idx="74">
                  <c:v>5.3689960788983991E-3</c:v>
                </c:pt>
                <c:pt idx="75">
                  <c:v>5.4303992688169113E-3</c:v>
                </c:pt>
                <c:pt idx="76">
                  <c:v>5.4949124118984036E-3</c:v>
                </c:pt>
                <c:pt idx="77">
                  <c:v>5.562535508142891E-3</c:v>
                </c:pt>
                <c:pt idx="78">
                  <c:v>5.6332685575503725E-3</c:v>
                </c:pt>
                <c:pt idx="79">
                  <c:v>5.7071115601208481E-3</c:v>
                </c:pt>
                <c:pt idx="80">
                  <c:v>5.7840645158543039E-3</c:v>
                </c:pt>
              </c:numCache>
            </c:numRef>
          </c:val>
          <c:extLst>
            <c:ext xmlns:c16="http://schemas.microsoft.com/office/drawing/2014/chart" uri="{C3380CC4-5D6E-409C-BE32-E72D297353CC}">
              <c16:uniqueId val="{000000A5-B0BD-44B6-BED5-7CDF3E877C37}"/>
            </c:ext>
          </c:extLst>
        </c:ser>
        <c:ser>
          <c:idx val="46"/>
          <c:order val="46"/>
          <c:tx>
            <c:strRef>
              <c:f>Interpolation!$S$49</c:f>
              <c:strCache>
                <c:ptCount val="1"/>
                <c:pt idx="0">
                  <c:v>34.6</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Interpolation!$T$49:$CV$49</c:f>
              <c:numCache>
                <c:formatCode>General</c:formatCode>
                <c:ptCount val="81"/>
                <c:pt idx="0">
                  <c:v>9.4525277542965285E-3</c:v>
                </c:pt>
                <c:pt idx="1">
                  <c:v>9.2836991795709391E-3</c:v>
                </c:pt>
                <c:pt idx="2">
                  <c:v>9.1179805580083421E-3</c:v>
                </c:pt>
                <c:pt idx="3">
                  <c:v>8.9553718896087393E-3</c:v>
                </c:pt>
                <c:pt idx="4">
                  <c:v>8.7958731743721305E-3</c:v>
                </c:pt>
                <c:pt idx="5">
                  <c:v>8.639484412298502E-3</c:v>
                </c:pt>
                <c:pt idx="6">
                  <c:v>8.4862056033878676E-3</c:v>
                </c:pt>
                <c:pt idx="7">
                  <c:v>8.3360367476402134E-3</c:v>
                </c:pt>
                <c:pt idx="8">
                  <c:v>8.188977845055569E-3</c:v>
                </c:pt>
                <c:pt idx="9">
                  <c:v>8.0450288956339169E-3</c:v>
                </c:pt>
                <c:pt idx="10">
                  <c:v>7.9041898993752451E-3</c:v>
                </c:pt>
                <c:pt idx="11">
                  <c:v>7.7664608562795674E-3</c:v>
                </c:pt>
                <c:pt idx="12">
                  <c:v>7.6318417663468838E-3</c:v>
                </c:pt>
                <c:pt idx="13">
                  <c:v>7.5003326295771952E-3</c:v>
                </c:pt>
                <c:pt idx="14">
                  <c:v>7.371933445970486E-3</c:v>
                </c:pt>
                <c:pt idx="15">
                  <c:v>7.2466442155267779E-3</c:v>
                </c:pt>
                <c:pt idx="16">
                  <c:v>7.1244649382460577E-3</c:v>
                </c:pt>
                <c:pt idx="17">
                  <c:v>7.0053956141283239E-3</c:v>
                </c:pt>
                <c:pt idx="18">
                  <c:v>6.8894362431735912E-3</c:v>
                </c:pt>
                <c:pt idx="19">
                  <c:v>6.7765868253818456E-3</c:v>
                </c:pt>
                <c:pt idx="20">
                  <c:v>6.666847360753088E-3</c:v>
                </c:pt>
                <c:pt idx="21">
                  <c:v>6.5602178492873307E-3</c:v>
                </c:pt>
                <c:pt idx="22">
                  <c:v>6.4566982909845605E-3</c:v>
                </c:pt>
                <c:pt idx="23">
                  <c:v>6.3562886858447784E-3</c:v>
                </c:pt>
                <c:pt idx="24">
                  <c:v>6.2589890338679895E-3</c:v>
                </c:pt>
                <c:pt idx="25">
                  <c:v>6.1647993350541878E-3</c:v>
                </c:pt>
                <c:pt idx="26">
                  <c:v>6.0737195894033872E-3</c:v>
                </c:pt>
                <c:pt idx="27">
                  <c:v>5.9857497969155746E-3</c:v>
                </c:pt>
                <c:pt idx="28">
                  <c:v>5.9008899575907483E-3</c:v>
                </c:pt>
                <c:pt idx="29">
                  <c:v>5.8191400714289162E-3</c:v>
                </c:pt>
                <c:pt idx="30">
                  <c:v>5.740500138430079E-3</c:v>
                </c:pt>
                <c:pt idx="31">
                  <c:v>5.6649701585942281E-3</c:v>
                </c:pt>
                <c:pt idx="32">
                  <c:v>5.5925501319213713E-3</c:v>
                </c:pt>
                <c:pt idx="33">
                  <c:v>5.5232400584115018E-3</c:v>
                </c:pt>
                <c:pt idx="34">
                  <c:v>5.4570399380646272E-3</c:v>
                </c:pt>
                <c:pt idx="35">
                  <c:v>5.3939497708807458E-3</c:v>
                </c:pt>
                <c:pt idx="36">
                  <c:v>5.3339695568598517E-3</c:v>
                </c:pt>
                <c:pt idx="37">
                  <c:v>5.2770992960019525E-3</c:v>
                </c:pt>
                <c:pt idx="38">
                  <c:v>5.2233389883070466E-3</c:v>
                </c:pt>
                <c:pt idx="39">
                  <c:v>5.1726886337751278E-3</c:v>
                </c:pt>
                <c:pt idx="40">
                  <c:v>5.1251482324061962E-3</c:v>
                </c:pt>
                <c:pt idx="41">
                  <c:v>5.0807177842002596E-3</c:v>
                </c:pt>
                <c:pt idx="42">
                  <c:v>5.0393972891573163E-3</c:v>
                </c:pt>
                <c:pt idx="43">
                  <c:v>5.0011867472773679E-3</c:v>
                </c:pt>
                <c:pt idx="44">
                  <c:v>4.9660861585604059E-3</c:v>
                </c:pt>
                <c:pt idx="45">
                  <c:v>4.934095523006438E-3</c:v>
                </c:pt>
                <c:pt idx="46">
                  <c:v>4.9052148406154572E-3</c:v>
                </c:pt>
                <c:pt idx="47">
                  <c:v>4.8794441113874714E-3</c:v>
                </c:pt>
                <c:pt idx="48">
                  <c:v>4.8567833353224789E-3</c:v>
                </c:pt>
                <c:pt idx="49">
                  <c:v>4.8372325124204736E-3</c:v>
                </c:pt>
                <c:pt idx="50">
                  <c:v>4.8207916426814563E-3</c:v>
                </c:pt>
                <c:pt idx="51">
                  <c:v>4.8074607261054392E-3</c:v>
                </c:pt>
                <c:pt idx="52">
                  <c:v>4.7972397626924092E-3</c:v>
                </c:pt>
                <c:pt idx="53">
                  <c:v>4.7901287524423665E-3</c:v>
                </c:pt>
                <c:pt idx="54">
                  <c:v>4.7861276953553179E-3</c:v>
                </c:pt>
                <c:pt idx="55">
                  <c:v>4.7852365914312711E-3</c:v>
                </c:pt>
                <c:pt idx="56">
                  <c:v>4.7874554406702038E-3</c:v>
                </c:pt>
                <c:pt idx="57">
                  <c:v>4.7927842430721306E-3</c:v>
                </c:pt>
                <c:pt idx="58">
                  <c:v>4.8012229986370454E-3</c:v>
                </c:pt>
                <c:pt idx="59">
                  <c:v>4.8127717073649604E-3</c:v>
                </c:pt>
                <c:pt idx="60">
                  <c:v>4.8274303692558557E-3</c:v>
                </c:pt>
                <c:pt idx="61">
                  <c:v>4.8451989843097528E-3</c:v>
                </c:pt>
                <c:pt idx="62">
                  <c:v>4.8660775525266294E-3</c:v>
                </c:pt>
                <c:pt idx="63">
                  <c:v>4.8900660739065148E-3</c:v>
                </c:pt>
                <c:pt idx="64">
                  <c:v>4.9171645484493796E-3</c:v>
                </c:pt>
                <c:pt idx="65">
                  <c:v>4.9473729761552315E-3</c:v>
                </c:pt>
                <c:pt idx="66">
                  <c:v>4.9806913570240845E-3</c:v>
                </c:pt>
                <c:pt idx="67">
                  <c:v>5.0171196910559247E-3</c:v>
                </c:pt>
                <c:pt idx="68">
                  <c:v>5.056657978250759E-3</c:v>
                </c:pt>
                <c:pt idx="69">
                  <c:v>5.0993062186085814E-3</c:v>
                </c:pt>
                <c:pt idx="70">
                  <c:v>5.145064412129397E-3</c:v>
                </c:pt>
                <c:pt idx="71">
                  <c:v>5.1939325588132006E-3</c:v>
                </c:pt>
                <c:pt idx="72">
                  <c:v>5.2459106586599975E-3</c:v>
                </c:pt>
                <c:pt idx="73">
                  <c:v>5.3009987116697885E-3</c:v>
                </c:pt>
                <c:pt idx="74">
                  <c:v>5.3591967178425607E-3</c:v>
                </c:pt>
                <c:pt idx="75">
                  <c:v>5.420504677178339E-3</c:v>
                </c:pt>
                <c:pt idx="76">
                  <c:v>5.4849225896770994E-3</c:v>
                </c:pt>
                <c:pt idx="77">
                  <c:v>5.552450455338853E-3</c:v>
                </c:pt>
                <c:pt idx="78">
                  <c:v>5.6230882741636016E-3</c:v>
                </c:pt>
                <c:pt idx="79">
                  <c:v>5.6968360461513434E-3</c:v>
                </c:pt>
                <c:pt idx="80">
                  <c:v>5.7736937713020655E-3</c:v>
                </c:pt>
              </c:numCache>
            </c:numRef>
          </c:val>
          <c:extLst>
            <c:ext xmlns:c16="http://schemas.microsoft.com/office/drawing/2014/chart" uri="{C3380CC4-5D6E-409C-BE32-E72D297353CC}">
              <c16:uniqueId val="{000000A6-B0BD-44B6-BED5-7CDF3E877C37}"/>
            </c:ext>
          </c:extLst>
        </c:ser>
        <c:ser>
          <c:idx val="47"/>
          <c:order val="47"/>
          <c:tx>
            <c:strRef>
              <c:f>Interpolation!$S$50</c:f>
              <c:strCache>
                <c:ptCount val="1"/>
                <c:pt idx="0">
                  <c:v>34.7</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Interpolation!$T$50:$CV$50</c:f>
              <c:numCache>
                <c:formatCode>General</c:formatCode>
                <c:ptCount val="81"/>
                <c:pt idx="0">
                  <c:v>9.450675910089747E-3</c:v>
                </c:pt>
                <c:pt idx="1">
                  <c:v>9.2817521047814221E-3</c:v>
                </c:pt>
                <c:pt idx="2">
                  <c:v>9.1159382526360931E-3</c:v>
                </c:pt>
                <c:pt idx="3">
                  <c:v>8.9532343536537565E-3</c:v>
                </c:pt>
                <c:pt idx="4">
                  <c:v>8.7936404078344139E-3</c:v>
                </c:pt>
                <c:pt idx="5">
                  <c:v>8.6371564151780534E-3</c:v>
                </c:pt>
                <c:pt idx="6">
                  <c:v>8.4837823756846852E-3</c:v>
                </c:pt>
                <c:pt idx="7">
                  <c:v>8.333518289354299E-3</c:v>
                </c:pt>
                <c:pt idx="8">
                  <c:v>8.1863641561869191E-3</c:v>
                </c:pt>
                <c:pt idx="9">
                  <c:v>8.042319976182535E-3</c:v>
                </c:pt>
                <c:pt idx="10">
                  <c:v>7.9013857493411294E-3</c:v>
                </c:pt>
                <c:pt idx="11">
                  <c:v>7.7635614756627188E-3</c:v>
                </c:pt>
                <c:pt idx="12">
                  <c:v>7.6288471551473024E-3</c:v>
                </c:pt>
                <c:pt idx="13">
                  <c:v>7.49724278779488E-3</c:v>
                </c:pt>
                <c:pt idx="14">
                  <c:v>7.3687483736054379E-3</c:v>
                </c:pt>
                <c:pt idx="15">
                  <c:v>7.2433639125789968E-3</c:v>
                </c:pt>
                <c:pt idx="16">
                  <c:v>7.1210894047155429E-3</c:v>
                </c:pt>
                <c:pt idx="17">
                  <c:v>7.0019248500150762E-3</c:v>
                </c:pt>
                <c:pt idx="18">
                  <c:v>6.8858702484776105E-3</c:v>
                </c:pt>
                <c:pt idx="19">
                  <c:v>6.7729256001031321E-3</c:v>
                </c:pt>
                <c:pt idx="20">
                  <c:v>6.6630909048916408E-3</c:v>
                </c:pt>
                <c:pt idx="21">
                  <c:v>6.5563661628431497E-3</c:v>
                </c:pt>
                <c:pt idx="22">
                  <c:v>6.4527513739576475E-3</c:v>
                </c:pt>
                <c:pt idx="23">
                  <c:v>6.3522465382351307E-3</c:v>
                </c:pt>
                <c:pt idx="24">
                  <c:v>6.2548516556756089E-3</c:v>
                </c:pt>
                <c:pt idx="25">
                  <c:v>6.1605667262790743E-3</c:v>
                </c:pt>
                <c:pt idx="26">
                  <c:v>6.0693917500455408E-3</c:v>
                </c:pt>
                <c:pt idx="27">
                  <c:v>5.9813267269749944E-3</c:v>
                </c:pt>
                <c:pt idx="28">
                  <c:v>5.8963716570674353E-3</c:v>
                </c:pt>
                <c:pt idx="29">
                  <c:v>5.8145265403228702E-3</c:v>
                </c:pt>
                <c:pt idx="30">
                  <c:v>5.7357913767412992E-3</c:v>
                </c:pt>
                <c:pt idx="31">
                  <c:v>5.6601661663227155E-3</c:v>
                </c:pt>
                <c:pt idx="32">
                  <c:v>5.5876509090671258E-3</c:v>
                </c:pt>
                <c:pt idx="33">
                  <c:v>5.5182456049745233E-3</c:v>
                </c:pt>
                <c:pt idx="34">
                  <c:v>5.4519502540449141E-3</c:v>
                </c:pt>
                <c:pt idx="35">
                  <c:v>5.3887648562782999E-3</c:v>
                </c:pt>
                <c:pt idx="36">
                  <c:v>5.3286894116746728E-3</c:v>
                </c:pt>
                <c:pt idx="37">
                  <c:v>5.2717239202340399E-3</c:v>
                </c:pt>
                <c:pt idx="38">
                  <c:v>5.217868381956401E-3</c:v>
                </c:pt>
                <c:pt idx="39">
                  <c:v>5.1671227968417494E-3</c:v>
                </c:pt>
                <c:pt idx="40">
                  <c:v>5.1194871648900849E-3</c:v>
                </c:pt>
                <c:pt idx="41">
                  <c:v>5.0749614861014146E-3</c:v>
                </c:pt>
                <c:pt idx="42">
                  <c:v>5.0335457604757383E-3</c:v>
                </c:pt>
                <c:pt idx="43">
                  <c:v>4.9952399880130562E-3</c:v>
                </c:pt>
                <c:pt idx="44">
                  <c:v>4.9600441687133612E-3</c:v>
                </c:pt>
                <c:pt idx="45">
                  <c:v>4.9279583025766596E-3</c:v>
                </c:pt>
                <c:pt idx="46">
                  <c:v>4.8989823896029459E-3</c:v>
                </c:pt>
                <c:pt idx="47">
                  <c:v>4.8731164297922264E-3</c:v>
                </c:pt>
                <c:pt idx="48">
                  <c:v>4.8503604231445018E-3</c:v>
                </c:pt>
                <c:pt idx="49">
                  <c:v>4.8307143696597627E-3</c:v>
                </c:pt>
                <c:pt idx="50">
                  <c:v>4.8141782693380125E-3</c:v>
                </c:pt>
                <c:pt idx="51">
                  <c:v>4.8007521221792616E-3</c:v>
                </c:pt>
                <c:pt idx="52">
                  <c:v>4.7904359281834988E-3</c:v>
                </c:pt>
                <c:pt idx="53">
                  <c:v>4.7832296873507232E-3</c:v>
                </c:pt>
                <c:pt idx="54">
                  <c:v>4.7791333996809416E-3</c:v>
                </c:pt>
                <c:pt idx="55">
                  <c:v>4.7781470651741612E-3</c:v>
                </c:pt>
                <c:pt idx="56">
                  <c:v>4.7802706838303601E-3</c:v>
                </c:pt>
                <c:pt idx="57">
                  <c:v>4.7855042556495548E-3</c:v>
                </c:pt>
                <c:pt idx="58">
                  <c:v>4.793847780631735E-3</c:v>
                </c:pt>
                <c:pt idx="59">
                  <c:v>4.805301258776918E-3</c:v>
                </c:pt>
                <c:pt idx="60">
                  <c:v>4.8198646900850795E-3</c:v>
                </c:pt>
                <c:pt idx="61">
                  <c:v>4.8375380745562437E-3</c:v>
                </c:pt>
                <c:pt idx="62">
                  <c:v>4.8583214121903865E-3</c:v>
                </c:pt>
                <c:pt idx="63">
                  <c:v>4.882214702987539E-3</c:v>
                </c:pt>
                <c:pt idx="64">
                  <c:v>4.90921794694767E-3</c:v>
                </c:pt>
                <c:pt idx="65">
                  <c:v>4.9393311440707891E-3</c:v>
                </c:pt>
                <c:pt idx="66">
                  <c:v>4.9725542943569092E-3</c:v>
                </c:pt>
                <c:pt idx="67">
                  <c:v>5.0088873978060156E-3</c:v>
                </c:pt>
                <c:pt idx="68">
                  <c:v>5.0483304544181179E-3</c:v>
                </c:pt>
                <c:pt idx="69">
                  <c:v>5.0908834641932056E-3</c:v>
                </c:pt>
                <c:pt idx="70">
                  <c:v>5.1365464271312892E-3</c:v>
                </c:pt>
                <c:pt idx="71">
                  <c:v>5.1853193432323582E-3</c:v>
                </c:pt>
                <c:pt idx="72">
                  <c:v>5.2372022124964231E-3</c:v>
                </c:pt>
                <c:pt idx="73">
                  <c:v>5.2921950349234812E-3</c:v>
                </c:pt>
                <c:pt idx="74">
                  <c:v>5.3502978105135195E-3</c:v>
                </c:pt>
                <c:pt idx="75">
                  <c:v>5.411510539266565E-3</c:v>
                </c:pt>
                <c:pt idx="76">
                  <c:v>5.4758332211825916E-3</c:v>
                </c:pt>
                <c:pt idx="77">
                  <c:v>5.5432658562616123E-3</c:v>
                </c:pt>
                <c:pt idx="78">
                  <c:v>5.6138084445036271E-3</c:v>
                </c:pt>
                <c:pt idx="79">
                  <c:v>5.6874609859086361E-3</c:v>
                </c:pt>
                <c:pt idx="80">
                  <c:v>5.7642234804766244E-3</c:v>
                </c:pt>
              </c:numCache>
            </c:numRef>
          </c:val>
          <c:extLst>
            <c:ext xmlns:c16="http://schemas.microsoft.com/office/drawing/2014/chart" uri="{C3380CC4-5D6E-409C-BE32-E72D297353CC}">
              <c16:uniqueId val="{000000A7-B0BD-44B6-BED5-7CDF3E877C37}"/>
            </c:ext>
          </c:extLst>
        </c:ser>
        <c:ser>
          <c:idx val="48"/>
          <c:order val="48"/>
          <c:tx>
            <c:strRef>
              <c:f>Interpolation!$S$51</c:f>
              <c:strCache>
                <c:ptCount val="1"/>
                <c:pt idx="0">
                  <c:v>34.8</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Interpolation!$T$51:$CV$51</c:f>
              <c:numCache>
                <c:formatCode>General</c:formatCode>
                <c:ptCount val="81"/>
                <c:pt idx="0">
                  <c:v>9.449724519609775E-3</c:v>
                </c:pt>
                <c:pt idx="1">
                  <c:v>9.2807054837187181E-3</c:v>
                </c:pt>
                <c:pt idx="2">
                  <c:v>9.1147964009906535E-3</c:v>
                </c:pt>
                <c:pt idx="3">
                  <c:v>8.9519972714255849E-3</c:v>
                </c:pt>
                <c:pt idx="4">
                  <c:v>8.7923080950235103E-3</c:v>
                </c:pt>
                <c:pt idx="5">
                  <c:v>8.635728871784416E-3</c:v>
                </c:pt>
                <c:pt idx="6">
                  <c:v>8.4822596017083141E-3</c:v>
                </c:pt>
                <c:pt idx="7">
                  <c:v>8.3319002847951941E-3</c:v>
                </c:pt>
                <c:pt idx="8">
                  <c:v>8.1846509210450821E-3</c:v>
                </c:pt>
                <c:pt idx="9">
                  <c:v>8.0405115104579643E-3</c:v>
                </c:pt>
                <c:pt idx="10">
                  <c:v>7.8994820530338267E-3</c:v>
                </c:pt>
                <c:pt idx="11">
                  <c:v>7.7615625487726823E-3</c:v>
                </c:pt>
                <c:pt idx="12">
                  <c:v>7.6267529976745321E-3</c:v>
                </c:pt>
                <c:pt idx="13">
                  <c:v>7.4950533997393768E-3</c:v>
                </c:pt>
                <c:pt idx="14">
                  <c:v>7.3664637549672009E-3</c:v>
                </c:pt>
                <c:pt idx="15">
                  <c:v>7.2409840633580269E-3</c:v>
                </c:pt>
                <c:pt idx="16">
                  <c:v>7.1186143249118393E-3</c:v>
                </c:pt>
                <c:pt idx="17">
                  <c:v>6.9993545396286397E-3</c:v>
                </c:pt>
                <c:pt idx="18">
                  <c:v>6.8832047075084411E-3</c:v>
                </c:pt>
                <c:pt idx="19">
                  <c:v>6.7701648285512289E-3</c:v>
                </c:pt>
                <c:pt idx="20">
                  <c:v>6.6602349027570047E-3</c:v>
                </c:pt>
                <c:pt idx="21">
                  <c:v>6.5534149301257807E-3</c:v>
                </c:pt>
                <c:pt idx="22">
                  <c:v>6.4497049106575447E-3</c:v>
                </c:pt>
                <c:pt idx="23">
                  <c:v>6.3491048443522951E-3</c:v>
                </c:pt>
                <c:pt idx="24">
                  <c:v>6.2516147312100404E-3</c:v>
                </c:pt>
                <c:pt idx="25">
                  <c:v>6.1572345712307729E-3</c:v>
                </c:pt>
                <c:pt idx="26">
                  <c:v>6.0659643644145056E-3</c:v>
                </c:pt>
                <c:pt idx="27">
                  <c:v>5.9778041107612263E-3</c:v>
                </c:pt>
                <c:pt idx="28">
                  <c:v>5.8927538102709334E-3</c:v>
                </c:pt>
                <c:pt idx="29">
                  <c:v>5.8108134629436354E-3</c:v>
                </c:pt>
                <c:pt idx="30">
                  <c:v>5.7319830687793307E-3</c:v>
                </c:pt>
                <c:pt idx="31">
                  <c:v>5.656262627778014E-3</c:v>
                </c:pt>
                <c:pt idx="32">
                  <c:v>5.5836521399396915E-3</c:v>
                </c:pt>
                <c:pt idx="33">
                  <c:v>5.5141516052643553E-3</c:v>
                </c:pt>
                <c:pt idx="34">
                  <c:v>5.4477610237520131E-3</c:v>
                </c:pt>
                <c:pt idx="35">
                  <c:v>5.384480395402666E-3</c:v>
                </c:pt>
                <c:pt idx="36">
                  <c:v>5.324309720216306E-3</c:v>
                </c:pt>
                <c:pt idx="37">
                  <c:v>5.2672489981929393E-3</c:v>
                </c:pt>
                <c:pt idx="38">
                  <c:v>5.2132982293325676E-3</c:v>
                </c:pt>
                <c:pt idx="39">
                  <c:v>5.1624574136351822E-3</c:v>
                </c:pt>
                <c:pt idx="40">
                  <c:v>5.1147265511007848E-3</c:v>
                </c:pt>
                <c:pt idx="41">
                  <c:v>5.0701056417293815E-3</c:v>
                </c:pt>
                <c:pt idx="42">
                  <c:v>5.0285946855209715E-3</c:v>
                </c:pt>
                <c:pt idx="43">
                  <c:v>4.9901936824755556E-3</c:v>
                </c:pt>
                <c:pt idx="44">
                  <c:v>4.9549026325931278E-3</c:v>
                </c:pt>
                <c:pt idx="45">
                  <c:v>4.9227215358736941E-3</c:v>
                </c:pt>
                <c:pt idx="46">
                  <c:v>4.8936503923172467E-3</c:v>
                </c:pt>
                <c:pt idx="47">
                  <c:v>4.8676892019237942E-3</c:v>
                </c:pt>
                <c:pt idx="48">
                  <c:v>4.844837964693335E-3</c:v>
                </c:pt>
                <c:pt idx="49">
                  <c:v>4.8250966806258639E-3</c:v>
                </c:pt>
                <c:pt idx="50">
                  <c:v>4.8084653497213799E-3</c:v>
                </c:pt>
                <c:pt idx="51">
                  <c:v>4.7949439719798962E-3</c:v>
                </c:pt>
                <c:pt idx="52">
                  <c:v>4.7845325474013996E-3</c:v>
                </c:pt>
                <c:pt idx="53">
                  <c:v>4.777231075985891E-3</c:v>
                </c:pt>
                <c:pt idx="54">
                  <c:v>4.7730395577333766E-3</c:v>
                </c:pt>
                <c:pt idx="55">
                  <c:v>4.7719579926438632E-3</c:v>
                </c:pt>
                <c:pt idx="56">
                  <c:v>4.7739863807173284E-3</c:v>
                </c:pt>
                <c:pt idx="57">
                  <c:v>4.7791247219537893E-3</c:v>
                </c:pt>
                <c:pt idx="58">
                  <c:v>4.7873730163532375E-3</c:v>
                </c:pt>
                <c:pt idx="59">
                  <c:v>4.7987312639156867E-3</c:v>
                </c:pt>
                <c:pt idx="60">
                  <c:v>4.8131994646411162E-3</c:v>
                </c:pt>
                <c:pt idx="61">
                  <c:v>4.8307776185295458E-3</c:v>
                </c:pt>
                <c:pt idx="62">
                  <c:v>4.8514657255809557E-3</c:v>
                </c:pt>
                <c:pt idx="63">
                  <c:v>4.8752637857953744E-3</c:v>
                </c:pt>
                <c:pt idx="64">
                  <c:v>4.9021717991727734E-3</c:v>
                </c:pt>
                <c:pt idx="65">
                  <c:v>4.9321897657131578E-3</c:v>
                </c:pt>
                <c:pt idx="66">
                  <c:v>4.965317685416545E-3</c:v>
                </c:pt>
                <c:pt idx="67">
                  <c:v>5.0015555582829194E-3</c:v>
                </c:pt>
                <c:pt idx="68">
                  <c:v>5.0409033843122879E-3</c:v>
                </c:pt>
                <c:pt idx="69">
                  <c:v>5.0833611635046428E-3</c:v>
                </c:pt>
                <c:pt idx="70">
                  <c:v>5.1289288958599917E-3</c:v>
                </c:pt>
                <c:pt idx="71">
                  <c:v>5.1776065813783287E-3</c:v>
                </c:pt>
                <c:pt idx="72">
                  <c:v>5.2293942200596598E-3</c:v>
                </c:pt>
                <c:pt idx="73">
                  <c:v>5.284291811903985E-3</c:v>
                </c:pt>
                <c:pt idx="74">
                  <c:v>5.3422993569112896E-3</c:v>
                </c:pt>
                <c:pt idx="75">
                  <c:v>5.4034168550816022E-3</c:v>
                </c:pt>
                <c:pt idx="76">
                  <c:v>5.4676443064148959E-3</c:v>
                </c:pt>
                <c:pt idx="77">
                  <c:v>5.5349817109111837E-3</c:v>
                </c:pt>
                <c:pt idx="78">
                  <c:v>5.6054290685704647E-3</c:v>
                </c:pt>
                <c:pt idx="79">
                  <c:v>5.6789863793927399E-3</c:v>
                </c:pt>
                <c:pt idx="80">
                  <c:v>5.7556536433779962E-3</c:v>
                </c:pt>
              </c:numCache>
            </c:numRef>
          </c:val>
          <c:extLst>
            <c:ext xmlns:c16="http://schemas.microsoft.com/office/drawing/2014/chart" uri="{C3380CC4-5D6E-409C-BE32-E72D297353CC}">
              <c16:uniqueId val="{000000A8-B0BD-44B6-BED5-7CDF3E877C37}"/>
            </c:ext>
          </c:extLst>
        </c:ser>
        <c:ser>
          <c:idx val="49"/>
          <c:order val="49"/>
          <c:tx>
            <c:strRef>
              <c:f>Interpolation!$S$52</c:f>
              <c:strCache>
                <c:ptCount val="1"/>
                <c:pt idx="0">
                  <c:v>34.9</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Interpolation!$T$52:$CV$52</c:f>
              <c:numCache>
                <c:formatCode>General</c:formatCode>
                <c:ptCount val="81"/>
                <c:pt idx="0">
                  <c:v>9.449673582856628E-3</c:v>
                </c:pt>
                <c:pt idx="1">
                  <c:v>9.2805593163828373E-3</c:v>
                </c:pt>
                <c:pt idx="2">
                  <c:v>9.1145550030720408E-3</c:v>
                </c:pt>
                <c:pt idx="3">
                  <c:v>8.9516606429242383E-3</c:v>
                </c:pt>
                <c:pt idx="4">
                  <c:v>8.79187623593943E-3</c:v>
                </c:pt>
                <c:pt idx="5">
                  <c:v>8.6352017821176019E-3</c:v>
                </c:pt>
                <c:pt idx="6">
                  <c:v>8.4816372814587697E-3</c:v>
                </c:pt>
                <c:pt idx="7">
                  <c:v>8.331182733962916E-3</c:v>
                </c:pt>
                <c:pt idx="8">
                  <c:v>8.1838381396300702E-3</c:v>
                </c:pt>
                <c:pt idx="9">
                  <c:v>8.0396034984602186E-3</c:v>
                </c:pt>
                <c:pt idx="10">
                  <c:v>7.8984788104533472E-3</c:v>
                </c:pt>
                <c:pt idx="11">
                  <c:v>7.76046407560947E-3</c:v>
                </c:pt>
                <c:pt idx="12">
                  <c:v>7.6255592939285868E-3</c:v>
                </c:pt>
                <c:pt idx="13">
                  <c:v>7.4937644654106978E-3</c:v>
                </c:pt>
                <c:pt idx="14">
                  <c:v>7.365079590055789E-3</c:v>
                </c:pt>
                <c:pt idx="15">
                  <c:v>7.2395046678638822E-3</c:v>
                </c:pt>
                <c:pt idx="16">
                  <c:v>7.1170396988349616E-3</c:v>
                </c:pt>
                <c:pt idx="17">
                  <c:v>6.9976846829690282E-3</c:v>
                </c:pt>
                <c:pt idx="18">
                  <c:v>6.8814396202660959E-3</c:v>
                </c:pt>
                <c:pt idx="19">
                  <c:v>6.7683045107261516E-3</c:v>
                </c:pt>
                <c:pt idx="20">
                  <c:v>6.6582793543491937E-3</c:v>
                </c:pt>
                <c:pt idx="21">
                  <c:v>6.5513641511352368E-3</c:v>
                </c:pt>
                <c:pt idx="22">
                  <c:v>6.447558901084267E-3</c:v>
                </c:pt>
                <c:pt idx="23">
                  <c:v>6.3468636041962845E-3</c:v>
                </c:pt>
                <c:pt idx="24">
                  <c:v>6.249278260471296E-3</c:v>
                </c:pt>
                <c:pt idx="25">
                  <c:v>6.1548028699092957E-3</c:v>
                </c:pt>
                <c:pt idx="26">
                  <c:v>6.0634374325102955E-3</c:v>
                </c:pt>
                <c:pt idx="27">
                  <c:v>5.9751819482742824E-3</c:v>
                </c:pt>
                <c:pt idx="28">
                  <c:v>5.8900364172012566E-3</c:v>
                </c:pt>
                <c:pt idx="29">
                  <c:v>5.8080008392912249E-3</c:v>
                </c:pt>
                <c:pt idx="30">
                  <c:v>5.7290752145441881E-3</c:v>
                </c:pt>
                <c:pt idx="31">
                  <c:v>5.6532595429601377E-3</c:v>
                </c:pt>
                <c:pt idx="32">
                  <c:v>5.5805538245390814E-3</c:v>
                </c:pt>
                <c:pt idx="33">
                  <c:v>5.5109580592810122E-3</c:v>
                </c:pt>
                <c:pt idx="34">
                  <c:v>5.4444722471859372E-3</c:v>
                </c:pt>
                <c:pt idx="35">
                  <c:v>5.3810963882538563E-3</c:v>
                </c:pt>
                <c:pt idx="36">
                  <c:v>5.3208304824847626E-3</c:v>
                </c:pt>
                <c:pt idx="37">
                  <c:v>5.2636745298786638E-3</c:v>
                </c:pt>
                <c:pt idx="38">
                  <c:v>5.2096285304355583E-3</c:v>
                </c:pt>
                <c:pt idx="39">
                  <c:v>5.15869248415544E-3</c:v>
                </c:pt>
                <c:pt idx="40">
                  <c:v>5.1108663910383097E-3</c:v>
                </c:pt>
                <c:pt idx="41">
                  <c:v>5.0661502510841727E-3</c:v>
                </c:pt>
                <c:pt idx="42">
                  <c:v>5.0245440642930298E-3</c:v>
                </c:pt>
                <c:pt idx="43">
                  <c:v>4.986047830664881E-3</c:v>
                </c:pt>
                <c:pt idx="44">
                  <c:v>4.9506615501997194E-3</c:v>
                </c:pt>
                <c:pt idx="45">
                  <c:v>4.9183852228975519E-3</c:v>
                </c:pt>
                <c:pt idx="46">
                  <c:v>4.8892188487583716E-3</c:v>
                </c:pt>
                <c:pt idx="47">
                  <c:v>4.8631624277821863E-3</c:v>
                </c:pt>
                <c:pt idx="48">
                  <c:v>4.8402159599689942E-3</c:v>
                </c:pt>
                <c:pt idx="49">
                  <c:v>4.8203794453187893E-3</c:v>
                </c:pt>
                <c:pt idx="50">
                  <c:v>4.8036528838315724E-3</c:v>
                </c:pt>
                <c:pt idx="51">
                  <c:v>4.7900362755073558E-3</c:v>
                </c:pt>
                <c:pt idx="52">
                  <c:v>4.7795296203461263E-3</c:v>
                </c:pt>
                <c:pt idx="53">
                  <c:v>4.772132918347884E-3</c:v>
                </c:pt>
                <c:pt idx="54">
                  <c:v>4.7678461695126358E-3</c:v>
                </c:pt>
                <c:pt idx="55">
                  <c:v>4.7666693738403886E-3</c:v>
                </c:pt>
                <c:pt idx="56">
                  <c:v>4.7686025313311217E-3</c:v>
                </c:pt>
                <c:pt idx="57">
                  <c:v>4.7736456419848489E-3</c:v>
                </c:pt>
                <c:pt idx="58">
                  <c:v>4.7817987058015633E-3</c:v>
                </c:pt>
                <c:pt idx="59">
                  <c:v>4.7930617227812796E-3</c:v>
                </c:pt>
                <c:pt idx="60">
                  <c:v>4.8074346929239762E-3</c:v>
                </c:pt>
                <c:pt idx="61">
                  <c:v>4.8249176162296729E-3</c:v>
                </c:pt>
                <c:pt idx="62">
                  <c:v>4.8455104926983499E-3</c:v>
                </c:pt>
                <c:pt idx="63">
                  <c:v>4.8692133223300349E-3</c:v>
                </c:pt>
                <c:pt idx="64">
                  <c:v>4.8960261051247001E-3</c:v>
                </c:pt>
                <c:pt idx="65">
                  <c:v>4.9259488410823525E-3</c:v>
                </c:pt>
                <c:pt idx="66">
                  <c:v>4.958981530203006E-3</c:v>
                </c:pt>
                <c:pt idx="67">
                  <c:v>4.9951241724866466E-3</c:v>
                </c:pt>
                <c:pt idx="68">
                  <c:v>5.0343767679332813E-3</c:v>
                </c:pt>
                <c:pt idx="69">
                  <c:v>5.0767393165429033E-3</c:v>
                </c:pt>
                <c:pt idx="70">
                  <c:v>5.1222118183155202E-3</c:v>
                </c:pt>
                <c:pt idx="71">
                  <c:v>5.1707942732511234E-3</c:v>
                </c:pt>
                <c:pt idx="72">
                  <c:v>5.2224866813497216E-3</c:v>
                </c:pt>
                <c:pt idx="73">
                  <c:v>5.277289042611313E-3</c:v>
                </c:pt>
                <c:pt idx="74">
                  <c:v>5.3352013570358847E-3</c:v>
                </c:pt>
                <c:pt idx="75">
                  <c:v>5.3962236246234644E-3</c:v>
                </c:pt>
                <c:pt idx="76">
                  <c:v>5.4603558453740243E-3</c:v>
                </c:pt>
                <c:pt idx="77">
                  <c:v>5.5275980192875784E-3</c:v>
                </c:pt>
                <c:pt idx="78">
                  <c:v>5.5979501463641265E-3</c:v>
                </c:pt>
                <c:pt idx="79">
                  <c:v>5.6714122266036688E-3</c:v>
                </c:pt>
                <c:pt idx="80">
                  <c:v>5.7479842600061922E-3</c:v>
                </c:pt>
              </c:numCache>
            </c:numRef>
          </c:val>
          <c:extLst>
            <c:ext xmlns:c16="http://schemas.microsoft.com/office/drawing/2014/chart" uri="{C3380CC4-5D6E-409C-BE32-E72D297353CC}">
              <c16:uniqueId val="{000000A9-B0BD-44B6-BED5-7CDF3E877C37}"/>
            </c:ext>
          </c:extLst>
        </c:ser>
        <c:ser>
          <c:idx val="50"/>
          <c:order val="50"/>
          <c:tx>
            <c:strRef>
              <c:f>Interpolation!$S$53</c:f>
              <c:strCache>
                <c:ptCount val="1"/>
                <c:pt idx="0">
                  <c:v>35</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Interpolation!$T$53:$CV$53</c:f>
              <c:numCache>
                <c:formatCode>General</c:formatCode>
                <c:ptCount val="81"/>
                <c:pt idx="0">
                  <c:v>9.450523099830313E-3</c:v>
                </c:pt>
                <c:pt idx="1">
                  <c:v>9.2813136027737886E-3</c:v>
                </c:pt>
                <c:pt idx="2">
                  <c:v>9.11521405888026E-3</c:v>
                </c:pt>
                <c:pt idx="3">
                  <c:v>8.9522244681497238E-3</c:v>
                </c:pt>
                <c:pt idx="4">
                  <c:v>8.7923448305821834E-3</c:v>
                </c:pt>
                <c:pt idx="5">
                  <c:v>8.6355751461776216E-3</c:v>
                </c:pt>
                <c:pt idx="6">
                  <c:v>8.4819154149360539E-3</c:v>
                </c:pt>
                <c:pt idx="7">
                  <c:v>8.3313656368574681E-3</c:v>
                </c:pt>
                <c:pt idx="8">
                  <c:v>8.1839258119418886E-3</c:v>
                </c:pt>
                <c:pt idx="9">
                  <c:v>8.039595940189305E-3</c:v>
                </c:pt>
                <c:pt idx="10">
                  <c:v>7.8983760215996998E-3</c:v>
                </c:pt>
                <c:pt idx="11">
                  <c:v>7.7602660561730897E-3</c:v>
                </c:pt>
                <c:pt idx="12">
                  <c:v>7.6252660439094736E-3</c:v>
                </c:pt>
                <c:pt idx="13">
                  <c:v>7.4933759848088517E-3</c:v>
                </c:pt>
                <c:pt idx="14">
                  <c:v>7.36459587887121E-3</c:v>
                </c:pt>
                <c:pt idx="15">
                  <c:v>7.2389257260965685E-3</c:v>
                </c:pt>
                <c:pt idx="16">
                  <c:v>7.1163655264849151E-3</c:v>
                </c:pt>
                <c:pt idx="17">
                  <c:v>6.9969152800362488E-3</c:v>
                </c:pt>
                <c:pt idx="18">
                  <c:v>6.8805749867505836E-3</c:v>
                </c:pt>
                <c:pt idx="19">
                  <c:v>6.7673446466279055E-3</c:v>
                </c:pt>
                <c:pt idx="20">
                  <c:v>6.6572242596682138E-3</c:v>
                </c:pt>
                <c:pt idx="21">
                  <c:v>6.5502138258715249E-3</c:v>
                </c:pt>
                <c:pt idx="22">
                  <c:v>6.4463133452378214E-3</c:v>
                </c:pt>
                <c:pt idx="23">
                  <c:v>6.3455228177671059E-3</c:v>
                </c:pt>
                <c:pt idx="24">
                  <c:v>6.2478422434593846E-3</c:v>
                </c:pt>
                <c:pt idx="25">
                  <c:v>6.1532716223146504E-3</c:v>
                </c:pt>
                <c:pt idx="26">
                  <c:v>6.0618109543329173E-3</c:v>
                </c:pt>
                <c:pt idx="27">
                  <c:v>5.9734602395141705E-3</c:v>
                </c:pt>
                <c:pt idx="28">
                  <c:v>5.8882194778584118E-3</c:v>
                </c:pt>
                <c:pt idx="29">
                  <c:v>5.8060886693656472E-3</c:v>
                </c:pt>
                <c:pt idx="30">
                  <c:v>5.7270678140358758E-3</c:v>
                </c:pt>
                <c:pt idx="31">
                  <c:v>5.6511569118690933E-3</c:v>
                </c:pt>
                <c:pt idx="32">
                  <c:v>5.5783559628653032E-3</c:v>
                </c:pt>
                <c:pt idx="33">
                  <c:v>5.5086649670245012E-3</c:v>
                </c:pt>
                <c:pt idx="34">
                  <c:v>5.4420839243466933E-3</c:v>
                </c:pt>
                <c:pt idx="35">
                  <c:v>5.3786128348318795E-3</c:v>
                </c:pt>
                <c:pt idx="36">
                  <c:v>5.3182516984800528E-3</c:v>
                </c:pt>
                <c:pt idx="37">
                  <c:v>5.2610005152912195E-3</c:v>
                </c:pt>
                <c:pt idx="38">
                  <c:v>5.2068592852653811E-3</c:v>
                </c:pt>
                <c:pt idx="39">
                  <c:v>5.1558280084025299E-3</c:v>
                </c:pt>
                <c:pt idx="40">
                  <c:v>5.1079066847026658E-3</c:v>
                </c:pt>
                <c:pt idx="41">
                  <c:v>5.0630953141657959E-3</c:v>
                </c:pt>
                <c:pt idx="42">
                  <c:v>5.0213938967919192E-3</c:v>
                </c:pt>
                <c:pt idx="43">
                  <c:v>4.9828024325810375E-3</c:v>
                </c:pt>
                <c:pt idx="44">
                  <c:v>4.947320921533143E-3</c:v>
                </c:pt>
                <c:pt idx="45">
                  <c:v>4.9149493636482426E-3</c:v>
                </c:pt>
                <c:pt idx="46">
                  <c:v>4.8856877589263294E-3</c:v>
                </c:pt>
                <c:pt idx="47">
                  <c:v>4.8595361073674103E-3</c:v>
                </c:pt>
                <c:pt idx="48">
                  <c:v>4.8364944089714854E-3</c:v>
                </c:pt>
                <c:pt idx="49">
                  <c:v>4.8165626637385467E-3</c:v>
                </c:pt>
                <c:pt idx="50">
                  <c:v>4.7997408716685961E-3</c:v>
                </c:pt>
                <c:pt idx="51">
                  <c:v>4.7860290327616465E-3</c:v>
                </c:pt>
                <c:pt idx="52">
                  <c:v>4.7754271470176841E-3</c:v>
                </c:pt>
                <c:pt idx="53">
                  <c:v>4.7679352144367089E-3</c:v>
                </c:pt>
                <c:pt idx="54">
                  <c:v>4.7635532350187269E-3</c:v>
                </c:pt>
                <c:pt idx="55">
                  <c:v>4.7622812087637478E-3</c:v>
                </c:pt>
                <c:pt idx="56">
                  <c:v>4.7641191356717471E-3</c:v>
                </c:pt>
                <c:pt idx="57">
                  <c:v>4.7690670157427405E-3</c:v>
                </c:pt>
                <c:pt idx="58">
                  <c:v>4.777124848976722E-3</c:v>
                </c:pt>
                <c:pt idx="59">
                  <c:v>4.7882926353737046E-3</c:v>
                </c:pt>
                <c:pt idx="60">
                  <c:v>4.8025703749336682E-3</c:v>
                </c:pt>
                <c:pt idx="61">
                  <c:v>4.8199580676566312E-3</c:v>
                </c:pt>
                <c:pt idx="62">
                  <c:v>4.8404557135425753E-3</c:v>
                </c:pt>
                <c:pt idx="63">
                  <c:v>4.8640633125915274E-3</c:v>
                </c:pt>
                <c:pt idx="64">
                  <c:v>4.8907808648034588E-3</c:v>
                </c:pt>
                <c:pt idx="65">
                  <c:v>4.9206083701783783E-3</c:v>
                </c:pt>
                <c:pt idx="66">
                  <c:v>4.9535458287162989E-3</c:v>
                </c:pt>
                <c:pt idx="67">
                  <c:v>4.9895932404172057E-3</c:v>
                </c:pt>
                <c:pt idx="68">
                  <c:v>5.0287506052811085E-3</c:v>
                </c:pt>
                <c:pt idx="69">
                  <c:v>5.0710179233079966E-3</c:v>
                </c:pt>
                <c:pt idx="70">
                  <c:v>5.1163951944978798E-3</c:v>
                </c:pt>
                <c:pt idx="71">
                  <c:v>5.1648824188507501E-3</c:v>
                </c:pt>
                <c:pt idx="72">
                  <c:v>5.2164795963666154E-3</c:v>
                </c:pt>
                <c:pt idx="73">
                  <c:v>5.2711867270454731E-3</c:v>
                </c:pt>
                <c:pt idx="74">
                  <c:v>5.3290038108873118E-3</c:v>
                </c:pt>
                <c:pt idx="75">
                  <c:v>5.3899308478921586E-3</c:v>
                </c:pt>
                <c:pt idx="76">
                  <c:v>5.4539678380599848E-3</c:v>
                </c:pt>
                <c:pt idx="77">
                  <c:v>5.5211147813908059E-3</c:v>
                </c:pt>
                <c:pt idx="78">
                  <c:v>5.5913716778846212E-3</c:v>
                </c:pt>
                <c:pt idx="79">
                  <c:v>5.6647385275414297E-3</c:v>
                </c:pt>
                <c:pt idx="80">
                  <c:v>5.7412153303612202E-3</c:v>
                </c:pt>
              </c:numCache>
            </c:numRef>
          </c:val>
          <c:extLst>
            <c:ext xmlns:c16="http://schemas.microsoft.com/office/drawing/2014/chart" uri="{C3380CC4-5D6E-409C-BE32-E72D297353CC}">
              <c16:uniqueId val="{000000AA-B0BD-44B6-BED5-7CDF3E877C37}"/>
            </c:ext>
          </c:extLst>
        </c:ser>
        <c:ser>
          <c:idx val="51"/>
          <c:order val="51"/>
          <c:tx>
            <c:strRef>
              <c:f>Interpolation!$S$54</c:f>
              <c:strCache>
                <c:ptCount val="1"/>
                <c:pt idx="0">
                  <c:v>35.1</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Interpolation!$T$54:$CV$54</c:f>
              <c:numCache>
                <c:formatCode>General</c:formatCode>
                <c:ptCount val="81"/>
                <c:pt idx="0">
                  <c:v>9.4522730705308023E-3</c:v>
                </c:pt>
                <c:pt idx="1">
                  <c:v>9.2829683428915458E-3</c:v>
                </c:pt>
                <c:pt idx="2">
                  <c:v>9.1167735684152835E-3</c:v>
                </c:pt>
                <c:pt idx="3">
                  <c:v>8.9536887471020135E-3</c:v>
                </c:pt>
                <c:pt idx="4">
                  <c:v>8.7937138789517394E-3</c:v>
                </c:pt>
                <c:pt idx="5">
                  <c:v>8.6368489639644455E-3</c:v>
                </c:pt>
                <c:pt idx="6">
                  <c:v>8.4830940021401458E-3</c:v>
                </c:pt>
                <c:pt idx="7">
                  <c:v>8.3324489934788245E-3</c:v>
                </c:pt>
                <c:pt idx="8">
                  <c:v>8.184913937980513E-3</c:v>
                </c:pt>
                <c:pt idx="9">
                  <c:v>8.0404888356451956E-3</c:v>
                </c:pt>
                <c:pt idx="10">
                  <c:v>7.8991736864728566E-3</c:v>
                </c:pt>
                <c:pt idx="11">
                  <c:v>7.7609684904635136E-3</c:v>
                </c:pt>
                <c:pt idx="12">
                  <c:v>7.6258732476171646E-3</c:v>
                </c:pt>
                <c:pt idx="13">
                  <c:v>7.493887957933809E-3</c:v>
                </c:pt>
                <c:pt idx="14">
                  <c:v>7.3650126214134344E-3</c:v>
                </c:pt>
                <c:pt idx="15">
                  <c:v>7.23924723805606E-3</c:v>
                </c:pt>
                <c:pt idx="16">
                  <c:v>7.1165918078616736E-3</c:v>
                </c:pt>
                <c:pt idx="17">
                  <c:v>6.9970463308302736E-3</c:v>
                </c:pt>
                <c:pt idx="18">
                  <c:v>6.8806108069618746E-3</c:v>
                </c:pt>
                <c:pt idx="19">
                  <c:v>6.7672852362564637E-3</c:v>
                </c:pt>
                <c:pt idx="20">
                  <c:v>6.6570696187140399E-3</c:v>
                </c:pt>
                <c:pt idx="21">
                  <c:v>6.5499639543346163E-3</c:v>
                </c:pt>
                <c:pt idx="22">
                  <c:v>6.4459682431181799E-3</c:v>
                </c:pt>
                <c:pt idx="23">
                  <c:v>6.3450824850647316E-3</c:v>
                </c:pt>
                <c:pt idx="24">
                  <c:v>6.2473066801742765E-3</c:v>
                </c:pt>
                <c:pt idx="25">
                  <c:v>6.1526408284468094E-3</c:v>
                </c:pt>
                <c:pt idx="26">
                  <c:v>6.0610849298823426E-3</c:v>
                </c:pt>
                <c:pt idx="27">
                  <c:v>5.9726389844808637E-3</c:v>
                </c:pt>
                <c:pt idx="28">
                  <c:v>5.8873029922423712E-3</c:v>
                </c:pt>
                <c:pt idx="29">
                  <c:v>5.8050769531668728E-3</c:v>
                </c:pt>
                <c:pt idx="30">
                  <c:v>5.7259608672543694E-3</c:v>
                </c:pt>
                <c:pt idx="31">
                  <c:v>5.6499547345048532E-3</c:v>
                </c:pt>
                <c:pt idx="32">
                  <c:v>5.5770585549183302E-3</c:v>
                </c:pt>
                <c:pt idx="33">
                  <c:v>5.5072723284947944E-3</c:v>
                </c:pt>
                <c:pt idx="34">
                  <c:v>5.4405960552342536E-3</c:v>
                </c:pt>
                <c:pt idx="35">
                  <c:v>5.377029735136706E-3</c:v>
                </c:pt>
                <c:pt idx="36">
                  <c:v>5.3165733682021456E-3</c:v>
                </c:pt>
                <c:pt idx="37">
                  <c:v>5.2592269544305802E-3</c:v>
                </c:pt>
                <c:pt idx="38">
                  <c:v>5.2049904938220089E-3</c:v>
                </c:pt>
                <c:pt idx="39">
                  <c:v>5.153863986376424E-3</c:v>
                </c:pt>
                <c:pt idx="40">
                  <c:v>5.1058474320938262E-3</c:v>
                </c:pt>
                <c:pt idx="41">
                  <c:v>5.0609408309742233E-3</c:v>
                </c:pt>
                <c:pt idx="42">
                  <c:v>5.0191441830176138E-3</c:v>
                </c:pt>
                <c:pt idx="43">
                  <c:v>4.9804574882239992E-3</c:v>
                </c:pt>
                <c:pt idx="44">
                  <c:v>4.9448807465933709E-3</c:v>
                </c:pt>
                <c:pt idx="45">
                  <c:v>4.9124139581257368E-3</c:v>
                </c:pt>
                <c:pt idx="46">
                  <c:v>4.8830571228210906E-3</c:v>
                </c:pt>
                <c:pt idx="47">
                  <c:v>4.8568102406794378E-3</c:v>
                </c:pt>
                <c:pt idx="48">
                  <c:v>4.8336733117007799E-3</c:v>
                </c:pt>
                <c:pt idx="49">
                  <c:v>4.8136463358851092E-3</c:v>
                </c:pt>
                <c:pt idx="50">
                  <c:v>4.7967293132324248E-3</c:v>
                </c:pt>
                <c:pt idx="51">
                  <c:v>4.7829222437427415E-3</c:v>
                </c:pt>
                <c:pt idx="52">
                  <c:v>4.7722251274160462E-3</c:v>
                </c:pt>
                <c:pt idx="53">
                  <c:v>4.7646379642523372E-3</c:v>
                </c:pt>
                <c:pt idx="54">
                  <c:v>4.7601607542516224E-3</c:v>
                </c:pt>
                <c:pt idx="55">
                  <c:v>4.7587934974139094E-3</c:v>
                </c:pt>
                <c:pt idx="56">
                  <c:v>4.7605361937391759E-3</c:v>
                </c:pt>
                <c:pt idx="57">
                  <c:v>4.7653888432274364E-3</c:v>
                </c:pt>
                <c:pt idx="58">
                  <c:v>4.773351445878685E-3</c:v>
                </c:pt>
                <c:pt idx="59">
                  <c:v>4.7844240016929346E-3</c:v>
                </c:pt>
                <c:pt idx="60">
                  <c:v>4.7986065106701645E-3</c:v>
                </c:pt>
                <c:pt idx="61">
                  <c:v>4.8158989728103946E-3</c:v>
                </c:pt>
                <c:pt idx="62">
                  <c:v>4.8363013881136049E-3</c:v>
                </c:pt>
                <c:pt idx="63">
                  <c:v>4.8598137565798241E-3</c:v>
                </c:pt>
                <c:pt idx="64">
                  <c:v>4.8864360782090235E-3</c:v>
                </c:pt>
                <c:pt idx="65">
                  <c:v>4.9161683530012084E-3</c:v>
                </c:pt>
                <c:pt idx="66">
                  <c:v>4.9490105809563961E-3</c:v>
                </c:pt>
                <c:pt idx="67">
                  <c:v>4.98496276207457E-3</c:v>
                </c:pt>
                <c:pt idx="68">
                  <c:v>5.0240248963557381E-3</c:v>
                </c:pt>
                <c:pt idx="69">
                  <c:v>5.0661969837998942E-3</c:v>
                </c:pt>
                <c:pt idx="70">
                  <c:v>5.1114790244070445E-3</c:v>
                </c:pt>
                <c:pt idx="71">
                  <c:v>5.159871018177181E-3</c:v>
                </c:pt>
                <c:pt idx="72">
                  <c:v>5.2113729651103126E-3</c:v>
                </c:pt>
                <c:pt idx="73">
                  <c:v>5.2659848652064373E-3</c:v>
                </c:pt>
                <c:pt idx="74">
                  <c:v>5.3237067184655432E-3</c:v>
                </c:pt>
                <c:pt idx="75">
                  <c:v>5.3845385248876563E-3</c:v>
                </c:pt>
                <c:pt idx="76">
                  <c:v>5.4484802844727495E-3</c:v>
                </c:pt>
                <c:pt idx="77">
                  <c:v>5.5155319972208378E-3</c:v>
                </c:pt>
                <c:pt idx="78">
                  <c:v>5.5856936631319192E-3</c:v>
                </c:pt>
                <c:pt idx="79">
                  <c:v>5.6589652822059949E-3</c:v>
                </c:pt>
                <c:pt idx="80">
                  <c:v>5.7353468544430516E-3</c:v>
                </c:pt>
              </c:numCache>
            </c:numRef>
          </c:val>
          <c:extLst>
            <c:ext xmlns:c16="http://schemas.microsoft.com/office/drawing/2014/chart" uri="{C3380CC4-5D6E-409C-BE32-E72D297353CC}">
              <c16:uniqueId val="{000000AB-B0BD-44B6-BED5-7CDF3E877C37}"/>
            </c:ext>
          </c:extLst>
        </c:ser>
        <c:ser>
          <c:idx val="52"/>
          <c:order val="52"/>
          <c:tx>
            <c:strRef>
              <c:f>Interpolation!$S$55</c:f>
              <c:strCache>
                <c:ptCount val="1"/>
                <c:pt idx="0">
                  <c:v>35.2</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Interpolation!$T$55:$CV$55</c:f>
              <c:numCache>
                <c:formatCode>General</c:formatCode>
                <c:ptCount val="81"/>
                <c:pt idx="0">
                  <c:v>9.4549234949581028E-3</c:v>
                </c:pt>
                <c:pt idx="1">
                  <c:v>9.2855235367361125E-3</c:v>
                </c:pt>
                <c:pt idx="2">
                  <c:v>9.1192335316771164E-3</c:v>
                </c:pt>
                <c:pt idx="3">
                  <c:v>8.9560534797811162E-3</c:v>
                </c:pt>
                <c:pt idx="4">
                  <c:v>8.7959833810481065E-3</c:v>
                </c:pt>
                <c:pt idx="5">
                  <c:v>8.6390232354780806E-3</c:v>
                </c:pt>
                <c:pt idx="6">
                  <c:v>8.4851730430710471E-3</c:v>
                </c:pt>
                <c:pt idx="7">
                  <c:v>8.3344328038269938E-3</c:v>
                </c:pt>
                <c:pt idx="8">
                  <c:v>8.1868025177459485E-3</c:v>
                </c:pt>
                <c:pt idx="9">
                  <c:v>8.0422821848278973E-3</c:v>
                </c:pt>
                <c:pt idx="10">
                  <c:v>7.9008718050728264E-3</c:v>
                </c:pt>
                <c:pt idx="11">
                  <c:v>7.7625713784807496E-3</c:v>
                </c:pt>
                <c:pt idx="12">
                  <c:v>7.6273809050516669E-3</c:v>
                </c:pt>
                <c:pt idx="13">
                  <c:v>7.4953003847855783E-3</c:v>
                </c:pt>
                <c:pt idx="14">
                  <c:v>7.3663298176824699E-3</c:v>
                </c:pt>
                <c:pt idx="15">
                  <c:v>7.2404692037423626E-3</c:v>
                </c:pt>
                <c:pt idx="16">
                  <c:v>7.1177185429652425E-3</c:v>
                </c:pt>
                <c:pt idx="17">
                  <c:v>6.9980778353511096E-3</c:v>
                </c:pt>
                <c:pt idx="18">
                  <c:v>6.8815470808999777E-3</c:v>
                </c:pt>
                <c:pt idx="19">
                  <c:v>6.768126279611833E-3</c:v>
                </c:pt>
                <c:pt idx="20">
                  <c:v>6.6578154314866755E-3</c:v>
                </c:pt>
                <c:pt idx="21">
                  <c:v>6.550614536524519E-3</c:v>
                </c:pt>
                <c:pt idx="22">
                  <c:v>6.4465235947253497E-3</c:v>
                </c:pt>
                <c:pt idx="23">
                  <c:v>6.3455426060891676E-3</c:v>
                </c:pt>
                <c:pt idx="24">
                  <c:v>6.2476715706159796E-3</c:v>
                </c:pt>
                <c:pt idx="25">
                  <c:v>6.1529104883057796E-3</c:v>
                </c:pt>
                <c:pt idx="26">
                  <c:v>6.0612593591585799E-3</c:v>
                </c:pt>
                <c:pt idx="27">
                  <c:v>5.9727181831743673E-3</c:v>
                </c:pt>
                <c:pt idx="28">
                  <c:v>5.8872869603531419E-3</c:v>
                </c:pt>
                <c:pt idx="29">
                  <c:v>5.8049656906949106E-3</c:v>
                </c:pt>
                <c:pt idx="30">
                  <c:v>5.7257543741996734E-3</c:v>
                </c:pt>
                <c:pt idx="31">
                  <c:v>5.6496530108674234E-3</c:v>
                </c:pt>
                <c:pt idx="32">
                  <c:v>5.5766616006981684E-3</c:v>
                </c:pt>
                <c:pt idx="33">
                  <c:v>5.5067801436918988E-3</c:v>
                </c:pt>
                <c:pt idx="34">
                  <c:v>5.4400086398486243E-3</c:v>
                </c:pt>
                <c:pt idx="35">
                  <c:v>5.3763470891683447E-3</c:v>
                </c:pt>
                <c:pt idx="36">
                  <c:v>5.3157954916510514E-3</c:v>
                </c:pt>
                <c:pt idx="37">
                  <c:v>5.2583538472967522E-3</c:v>
                </c:pt>
                <c:pt idx="38">
                  <c:v>5.2040221561054471E-3</c:v>
                </c:pt>
                <c:pt idx="39">
                  <c:v>5.1528004180771293E-3</c:v>
                </c:pt>
                <c:pt idx="40">
                  <c:v>5.1046886332117986E-3</c:v>
                </c:pt>
                <c:pt idx="41">
                  <c:v>5.059686801509462E-3</c:v>
                </c:pt>
                <c:pt idx="42">
                  <c:v>5.0177949229701195E-3</c:v>
                </c:pt>
                <c:pt idx="43">
                  <c:v>4.9790129975937712E-3</c:v>
                </c:pt>
                <c:pt idx="44">
                  <c:v>4.94334102538041E-3</c:v>
                </c:pt>
                <c:pt idx="45">
                  <c:v>4.9107790063300429E-3</c:v>
                </c:pt>
                <c:pt idx="46">
                  <c:v>4.881326940442663E-3</c:v>
                </c:pt>
                <c:pt idx="47">
                  <c:v>4.8549848277182773E-3</c:v>
                </c:pt>
                <c:pt idx="48">
                  <c:v>4.8317526681568856E-3</c:v>
                </c:pt>
                <c:pt idx="49">
                  <c:v>4.8116304617584812E-3</c:v>
                </c:pt>
                <c:pt idx="50">
                  <c:v>4.7946182085230639E-3</c:v>
                </c:pt>
                <c:pt idx="51">
                  <c:v>4.7807159084506485E-3</c:v>
                </c:pt>
                <c:pt idx="52">
                  <c:v>4.7699235615412195E-3</c:v>
                </c:pt>
                <c:pt idx="53">
                  <c:v>4.7622411677947767E-3</c:v>
                </c:pt>
                <c:pt idx="54">
                  <c:v>4.7576687272113298E-3</c:v>
                </c:pt>
                <c:pt idx="55">
                  <c:v>4.7562062397908831E-3</c:v>
                </c:pt>
                <c:pt idx="56">
                  <c:v>4.7578537055334158E-3</c:v>
                </c:pt>
                <c:pt idx="57">
                  <c:v>4.7626111244389443E-3</c:v>
                </c:pt>
                <c:pt idx="58">
                  <c:v>4.7704784965074591E-3</c:v>
                </c:pt>
                <c:pt idx="59">
                  <c:v>4.7814558217389759E-3</c:v>
                </c:pt>
                <c:pt idx="60">
                  <c:v>4.795543100133472E-3</c:v>
                </c:pt>
                <c:pt idx="61">
                  <c:v>4.8127403316909692E-3</c:v>
                </c:pt>
                <c:pt idx="62">
                  <c:v>4.8330475164114466E-3</c:v>
                </c:pt>
                <c:pt idx="63">
                  <c:v>4.856464654294932E-3</c:v>
                </c:pt>
                <c:pt idx="64">
                  <c:v>4.8829917453413977E-3</c:v>
                </c:pt>
                <c:pt idx="65">
                  <c:v>4.9126287895508505E-3</c:v>
                </c:pt>
                <c:pt idx="66">
                  <c:v>4.9453757869233044E-3</c:v>
                </c:pt>
                <c:pt idx="67">
                  <c:v>4.9812327374587455E-3</c:v>
                </c:pt>
                <c:pt idx="68">
                  <c:v>5.0201996411571807E-3</c:v>
                </c:pt>
                <c:pt idx="69">
                  <c:v>5.062276498018603E-3</c:v>
                </c:pt>
                <c:pt idx="70">
                  <c:v>5.1074633080430195E-3</c:v>
                </c:pt>
                <c:pt idx="71">
                  <c:v>5.1557600712304232E-3</c:v>
                </c:pt>
                <c:pt idx="72">
                  <c:v>5.2071667875808209E-3</c:v>
                </c:pt>
                <c:pt idx="73">
                  <c:v>5.2616834570942128E-3</c:v>
                </c:pt>
                <c:pt idx="74">
                  <c:v>5.3193100797705858E-3</c:v>
                </c:pt>
                <c:pt idx="75">
                  <c:v>5.3800466556099651E-3</c:v>
                </c:pt>
                <c:pt idx="76">
                  <c:v>5.4438931846123254E-3</c:v>
                </c:pt>
                <c:pt idx="77">
                  <c:v>5.5108496667776799E-3</c:v>
                </c:pt>
                <c:pt idx="78">
                  <c:v>5.5809161021060285E-3</c:v>
                </c:pt>
                <c:pt idx="79">
                  <c:v>5.6540924905973712E-3</c:v>
                </c:pt>
                <c:pt idx="80">
                  <c:v>5.730378832251695E-3</c:v>
                </c:pt>
              </c:numCache>
            </c:numRef>
          </c:val>
          <c:extLst>
            <c:ext xmlns:c16="http://schemas.microsoft.com/office/drawing/2014/chart" uri="{C3380CC4-5D6E-409C-BE32-E72D297353CC}">
              <c16:uniqueId val="{000000AC-B0BD-44B6-BED5-7CDF3E877C37}"/>
            </c:ext>
          </c:extLst>
        </c:ser>
        <c:ser>
          <c:idx val="53"/>
          <c:order val="53"/>
          <c:tx>
            <c:strRef>
              <c:f>Interpolation!$S$56</c:f>
              <c:strCache>
                <c:ptCount val="1"/>
                <c:pt idx="0">
                  <c:v>35.3</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Interpolation!$T$56:$CV$56</c:f>
              <c:numCache>
                <c:formatCode>General</c:formatCode>
                <c:ptCount val="81"/>
                <c:pt idx="0">
                  <c:v>9.458474373112237E-3</c:v>
                </c:pt>
                <c:pt idx="1">
                  <c:v>9.288979184307513E-3</c:v>
                </c:pt>
                <c:pt idx="2">
                  <c:v>9.1225939486657831E-3</c:v>
                </c:pt>
                <c:pt idx="3">
                  <c:v>8.9593186661870491E-3</c:v>
                </c:pt>
                <c:pt idx="4">
                  <c:v>8.7991533368713074E-3</c:v>
                </c:pt>
                <c:pt idx="5">
                  <c:v>8.642097960718546E-3</c:v>
                </c:pt>
                <c:pt idx="6">
                  <c:v>8.4881525377287805E-3</c:v>
                </c:pt>
                <c:pt idx="7">
                  <c:v>8.3373170679019934E-3</c:v>
                </c:pt>
                <c:pt idx="8">
                  <c:v>8.1895915512382143E-3</c:v>
                </c:pt>
                <c:pt idx="9">
                  <c:v>8.0449759877374311E-3</c:v>
                </c:pt>
                <c:pt idx="10">
                  <c:v>7.9034703773996264E-3</c:v>
                </c:pt>
                <c:pt idx="11">
                  <c:v>7.7650747202248167E-3</c:v>
                </c:pt>
                <c:pt idx="12">
                  <c:v>7.6297890162130011E-3</c:v>
                </c:pt>
                <c:pt idx="13">
                  <c:v>7.4976132653641787E-3</c:v>
                </c:pt>
                <c:pt idx="14">
                  <c:v>7.3685474676783375E-3</c:v>
                </c:pt>
                <c:pt idx="15">
                  <c:v>7.2425916231554973E-3</c:v>
                </c:pt>
                <c:pt idx="16">
                  <c:v>7.1197457317956443E-3</c:v>
                </c:pt>
                <c:pt idx="17">
                  <c:v>7.0000097935987776E-3</c:v>
                </c:pt>
                <c:pt idx="18">
                  <c:v>6.8833838085649128E-3</c:v>
                </c:pt>
                <c:pt idx="19">
                  <c:v>6.7698677766940352E-3</c:v>
                </c:pt>
                <c:pt idx="20">
                  <c:v>6.6594616979861448E-3</c:v>
                </c:pt>
                <c:pt idx="21">
                  <c:v>6.5521655724412545E-3</c:v>
                </c:pt>
                <c:pt idx="22">
                  <c:v>6.4479794000593523E-3</c:v>
                </c:pt>
                <c:pt idx="23">
                  <c:v>6.3469031808404373E-3</c:v>
                </c:pt>
                <c:pt idx="24">
                  <c:v>6.2489369147845156E-3</c:v>
                </c:pt>
                <c:pt idx="25">
                  <c:v>6.1540806018915819E-3</c:v>
                </c:pt>
                <c:pt idx="26">
                  <c:v>6.0623342421616492E-3</c:v>
                </c:pt>
                <c:pt idx="27">
                  <c:v>5.9736978355947028E-3</c:v>
                </c:pt>
                <c:pt idx="28">
                  <c:v>5.8881713821907445E-3</c:v>
                </c:pt>
                <c:pt idx="29">
                  <c:v>5.8057548819497803E-3</c:v>
                </c:pt>
                <c:pt idx="30">
                  <c:v>5.7264483348718094E-3</c:v>
                </c:pt>
                <c:pt idx="31">
                  <c:v>5.6502517409568274E-3</c:v>
                </c:pt>
                <c:pt idx="32">
                  <c:v>5.5771651002048377E-3</c:v>
                </c:pt>
                <c:pt idx="33">
                  <c:v>5.5071884126158361E-3</c:v>
                </c:pt>
                <c:pt idx="34">
                  <c:v>5.4403216781898278E-3</c:v>
                </c:pt>
                <c:pt idx="35">
                  <c:v>5.3765648969268144E-3</c:v>
                </c:pt>
                <c:pt idx="36">
                  <c:v>5.3159180688267882E-3</c:v>
                </c:pt>
                <c:pt idx="37">
                  <c:v>5.2583811938897562E-3</c:v>
                </c:pt>
                <c:pt idx="38">
                  <c:v>5.2039542721157173E-3</c:v>
                </c:pt>
                <c:pt idx="39">
                  <c:v>5.1526373035046666E-3</c:v>
                </c:pt>
                <c:pt idx="40">
                  <c:v>5.104430288056603E-3</c:v>
                </c:pt>
                <c:pt idx="41">
                  <c:v>5.0593332257715326E-3</c:v>
                </c:pt>
                <c:pt idx="42">
                  <c:v>5.0173461166494572E-3</c:v>
                </c:pt>
                <c:pt idx="43">
                  <c:v>4.978468960690376E-3</c:v>
                </c:pt>
                <c:pt idx="44">
                  <c:v>4.9427017578942811E-3</c:v>
                </c:pt>
                <c:pt idx="45">
                  <c:v>4.9100445082611811E-3</c:v>
                </c:pt>
                <c:pt idx="46">
                  <c:v>4.8804972117910683E-3</c:v>
                </c:pt>
                <c:pt idx="47">
                  <c:v>4.8540598684839497E-3</c:v>
                </c:pt>
                <c:pt idx="48">
                  <c:v>4.8307324783398251E-3</c:v>
                </c:pt>
                <c:pt idx="49">
                  <c:v>4.8105150413586869E-3</c:v>
                </c:pt>
                <c:pt idx="50">
                  <c:v>4.7934075575405367E-3</c:v>
                </c:pt>
                <c:pt idx="51">
                  <c:v>4.7794100268853876E-3</c:v>
                </c:pt>
                <c:pt idx="52">
                  <c:v>4.7685224493932248E-3</c:v>
                </c:pt>
                <c:pt idx="53">
                  <c:v>4.76074482506405E-3</c:v>
                </c:pt>
                <c:pt idx="54">
                  <c:v>4.7560771538978693E-3</c:v>
                </c:pt>
                <c:pt idx="55">
                  <c:v>4.7545194358946889E-3</c:v>
                </c:pt>
                <c:pt idx="56">
                  <c:v>4.7560716710544895E-3</c:v>
                </c:pt>
                <c:pt idx="57">
                  <c:v>4.7607338593772842E-3</c:v>
                </c:pt>
                <c:pt idx="58">
                  <c:v>4.7685060008630653E-3</c:v>
                </c:pt>
                <c:pt idx="59">
                  <c:v>4.7793880955118492E-3</c:v>
                </c:pt>
                <c:pt idx="60">
                  <c:v>4.7933801433236115E-3</c:v>
                </c:pt>
                <c:pt idx="61">
                  <c:v>4.8104821442983758E-3</c:v>
                </c:pt>
                <c:pt idx="62">
                  <c:v>4.8306940984361203E-3</c:v>
                </c:pt>
                <c:pt idx="63">
                  <c:v>4.854016005736872E-3</c:v>
                </c:pt>
                <c:pt idx="64">
                  <c:v>4.8804478662006047E-3</c:v>
                </c:pt>
                <c:pt idx="65">
                  <c:v>4.9099896798273247E-3</c:v>
                </c:pt>
                <c:pt idx="66">
                  <c:v>4.9426414466170448E-3</c:v>
                </c:pt>
                <c:pt idx="67">
                  <c:v>4.9784031665697521E-3</c:v>
                </c:pt>
                <c:pt idx="68">
                  <c:v>5.0172748396854552E-3</c:v>
                </c:pt>
                <c:pt idx="69">
                  <c:v>5.0592564659641438E-3</c:v>
                </c:pt>
                <c:pt idx="70">
                  <c:v>5.1043480454058274E-3</c:v>
                </c:pt>
                <c:pt idx="71">
                  <c:v>5.1525495780104982E-3</c:v>
                </c:pt>
                <c:pt idx="72">
                  <c:v>5.203861063778163E-3</c:v>
                </c:pt>
                <c:pt idx="73">
                  <c:v>5.258282502708822E-3</c:v>
                </c:pt>
                <c:pt idx="74">
                  <c:v>5.3158138948024604E-3</c:v>
                </c:pt>
                <c:pt idx="75">
                  <c:v>5.3764552400591067E-3</c:v>
                </c:pt>
                <c:pt idx="76">
                  <c:v>5.4402065384787351E-3</c:v>
                </c:pt>
                <c:pt idx="77">
                  <c:v>5.5070677900613558E-3</c:v>
                </c:pt>
                <c:pt idx="78">
                  <c:v>5.5770389948069706E-3</c:v>
                </c:pt>
                <c:pt idx="79">
                  <c:v>5.6501201527155813E-3</c:v>
                </c:pt>
                <c:pt idx="80">
                  <c:v>5.7263112637871705E-3</c:v>
                </c:pt>
              </c:numCache>
            </c:numRef>
          </c:val>
          <c:extLst>
            <c:ext xmlns:c16="http://schemas.microsoft.com/office/drawing/2014/chart" uri="{C3380CC4-5D6E-409C-BE32-E72D297353CC}">
              <c16:uniqueId val="{000000AD-B0BD-44B6-BED5-7CDF3E877C37}"/>
            </c:ext>
          </c:extLst>
        </c:ser>
        <c:ser>
          <c:idx val="54"/>
          <c:order val="54"/>
          <c:tx>
            <c:strRef>
              <c:f>Interpolation!$S$57</c:f>
              <c:strCache>
                <c:ptCount val="1"/>
                <c:pt idx="0">
                  <c:v>35.4</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Interpolation!$T$57:$CV$57</c:f>
              <c:numCache>
                <c:formatCode>General</c:formatCode>
                <c:ptCount val="81"/>
                <c:pt idx="0">
                  <c:v>9.4629257049931737E-3</c:v>
                </c:pt>
                <c:pt idx="1">
                  <c:v>9.293335285605716E-3</c:v>
                </c:pt>
                <c:pt idx="2">
                  <c:v>9.126854819381254E-3</c:v>
                </c:pt>
                <c:pt idx="3">
                  <c:v>8.9634843063197862E-3</c:v>
                </c:pt>
                <c:pt idx="4">
                  <c:v>8.8032237464213108E-3</c:v>
                </c:pt>
                <c:pt idx="5">
                  <c:v>8.6460731396858174E-3</c:v>
                </c:pt>
                <c:pt idx="6">
                  <c:v>8.4920324861133181E-3</c:v>
                </c:pt>
                <c:pt idx="7">
                  <c:v>8.3411017857037972E-3</c:v>
                </c:pt>
                <c:pt idx="8">
                  <c:v>8.1932810384572861E-3</c:v>
                </c:pt>
                <c:pt idx="9">
                  <c:v>8.0485702443737692E-3</c:v>
                </c:pt>
                <c:pt idx="10">
                  <c:v>7.9069694034532307E-3</c:v>
                </c:pt>
                <c:pt idx="11">
                  <c:v>7.7684785156956881E-3</c:v>
                </c:pt>
                <c:pt idx="12">
                  <c:v>7.6330975811011396E-3</c:v>
                </c:pt>
                <c:pt idx="13">
                  <c:v>7.5008265996695843E-3</c:v>
                </c:pt>
                <c:pt idx="14">
                  <c:v>7.3716655714010093E-3</c:v>
                </c:pt>
                <c:pt idx="15">
                  <c:v>7.2456144962954362E-3</c:v>
                </c:pt>
                <c:pt idx="16">
                  <c:v>7.1226733743528494E-3</c:v>
                </c:pt>
                <c:pt idx="17">
                  <c:v>7.0028422055732498E-3</c:v>
                </c:pt>
                <c:pt idx="18">
                  <c:v>6.8861209899566522E-3</c:v>
                </c:pt>
                <c:pt idx="19">
                  <c:v>6.7725097275030408E-3</c:v>
                </c:pt>
                <c:pt idx="20">
                  <c:v>6.6620084182124166E-3</c:v>
                </c:pt>
                <c:pt idx="21">
                  <c:v>6.5546170620847943E-3</c:v>
                </c:pt>
                <c:pt idx="22">
                  <c:v>6.4503356591201584E-3</c:v>
                </c:pt>
                <c:pt idx="23">
                  <c:v>6.3491642093185096E-3</c:v>
                </c:pt>
                <c:pt idx="24">
                  <c:v>6.2511027126798558E-3</c:v>
                </c:pt>
                <c:pt idx="25">
                  <c:v>6.1561511692041883E-3</c:v>
                </c:pt>
                <c:pt idx="26">
                  <c:v>6.0643095788915219E-3</c:v>
                </c:pt>
                <c:pt idx="27">
                  <c:v>5.9755779417418435E-3</c:v>
                </c:pt>
                <c:pt idx="28">
                  <c:v>5.8899562577551514E-3</c:v>
                </c:pt>
                <c:pt idx="29">
                  <c:v>5.8074445269314535E-3</c:v>
                </c:pt>
                <c:pt idx="30">
                  <c:v>5.7280427492707505E-3</c:v>
                </c:pt>
                <c:pt idx="31">
                  <c:v>5.6517509247730338E-3</c:v>
                </c:pt>
                <c:pt idx="32">
                  <c:v>5.5785690534383122E-3</c:v>
                </c:pt>
                <c:pt idx="33">
                  <c:v>5.5084971352665768E-3</c:v>
                </c:pt>
                <c:pt idx="34">
                  <c:v>5.4415351702578356E-3</c:v>
                </c:pt>
                <c:pt idx="35">
                  <c:v>5.3776831584120884E-3</c:v>
                </c:pt>
                <c:pt idx="36">
                  <c:v>5.3169410997293293E-3</c:v>
                </c:pt>
                <c:pt idx="37">
                  <c:v>5.2593089942095635E-3</c:v>
                </c:pt>
                <c:pt idx="38">
                  <c:v>5.2047868418527918E-3</c:v>
                </c:pt>
                <c:pt idx="39">
                  <c:v>5.1533746426590081E-3</c:v>
                </c:pt>
                <c:pt idx="40">
                  <c:v>5.1050723966282107E-3</c:v>
                </c:pt>
                <c:pt idx="41">
                  <c:v>5.0598801037604075E-3</c:v>
                </c:pt>
                <c:pt idx="42">
                  <c:v>5.0177977640555992E-3</c:v>
                </c:pt>
                <c:pt idx="43">
                  <c:v>4.9788253775137842E-3</c:v>
                </c:pt>
                <c:pt idx="44">
                  <c:v>4.9429629441349564E-3</c:v>
                </c:pt>
                <c:pt idx="45">
                  <c:v>4.9102104639191235E-3</c:v>
                </c:pt>
                <c:pt idx="46">
                  <c:v>4.880567936866277E-3</c:v>
                </c:pt>
                <c:pt idx="47">
                  <c:v>4.8540353629764254E-3</c:v>
                </c:pt>
                <c:pt idx="48">
                  <c:v>4.8306127422495671E-3</c:v>
                </c:pt>
                <c:pt idx="49">
                  <c:v>4.8103000746856969E-3</c:v>
                </c:pt>
                <c:pt idx="50">
                  <c:v>4.793097360284812E-3</c:v>
                </c:pt>
                <c:pt idx="51">
                  <c:v>4.77900459904693E-3</c:v>
                </c:pt>
                <c:pt idx="52">
                  <c:v>4.7680217909720352E-3</c:v>
                </c:pt>
                <c:pt idx="53">
                  <c:v>4.7601489360601257E-3</c:v>
                </c:pt>
                <c:pt idx="54">
                  <c:v>4.7553860343112122E-3</c:v>
                </c:pt>
                <c:pt idx="55">
                  <c:v>4.7537330857252997E-3</c:v>
                </c:pt>
                <c:pt idx="56">
                  <c:v>4.7551900903023657E-3</c:v>
                </c:pt>
                <c:pt idx="57">
                  <c:v>4.7597570480424276E-3</c:v>
                </c:pt>
                <c:pt idx="58">
                  <c:v>4.7674339589454757E-3</c:v>
                </c:pt>
                <c:pt idx="59">
                  <c:v>4.7782208230115258E-3</c:v>
                </c:pt>
                <c:pt idx="60">
                  <c:v>4.7921176402405553E-3</c:v>
                </c:pt>
                <c:pt idx="61">
                  <c:v>4.8091244106325867E-3</c:v>
                </c:pt>
                <c:pt idx="62">
                  <c:v>4.8292411341875974E-3</c:v>
                </c:pt>
                <c:pt idx="63">
                  <c:v>4.8524678109056162E-3</c:v>
                </c:pt>
                <c:pt idx="64">
                  <c:v>4.878804440786616E-3</c:v>
                </c:pt>
                <c:pt idx="65">
                  <c:v>4.9082510238306013E-3</c:v>
                </c:pt>
                <c:pt idx="66">
                  <c:v>4.9408075600375894E-3</c:v>
                </c:pt>
                <c:pt idx="67">
                  <c:v>4.9764740494075638E-3</c:v>
                </c:pt>
                <c:pt idx="68">
                  <c:v>5.0152504919405323E-3</c:v>
                </c:pt>
                <c:pt idx="69">
                  <c:v>5.0571368876364889E-3</c:v>
                </c:pt>
                <c:pt idx="70">
                  <c:v>5.1021332364954396E-3</c:v>
                </c:pt>
                <c:pt idx="71">
                  <c:v>5.1502395385173757E-3</c:v>
                </c:pt>
                <c:pt idx="72">
                  <c:v>5.2014557937023077E-3</c:v>
                </c:pt>
                <c:pt idx="73">
                  <c:v>5.2557820020502338E-3</c:v>
                </c:pt>
                <c:pt idx="74">
                  <c:v>5.3132181635611401E-3</c:v>
                </c:pt>
                <c:pt idx="75">
                  <c:v>5.3737642782350527E-3</c:v>
                </c:pt>
                <c:pt idx="76">
                  <c:v>5.4374203460719472E-3</c:v>
                </c:pt>
                <c:pt idx="77">
                  <c:v>5.5041863670718351E-3</c:v>
                </c:pt>
                <c:pt idx="78">
                  <c:v>5.574062341234717E-3</c:v>
                </c:pt>
                <c:pt idx="79">
                  <c:v>5.6470482685605939E-3</c:v>
                </c:pt>
                <c:pt idx="80">
                  <c:v>5.7231441490494502E-3</c:v>
                </c:pt>
              </c:numCache>
            </c:numRef>
          </c:val>
          <c:extLst>
            <c:ext xmlns:c16="http://schemas.microsoft.com/office/drawing/2014/chart" uri="{C3380CC4-5D6E-409C-BE32-E72D297353CC}">
              <c16:uniqueId val="{000000AE-B0BD-44B6-BED5-7CDF3E877C37}"/>
            </c:ext>
          </c:extLst>
        </c:ser>
        <c:ser>
          <c:idx val="55"/>
          <c:order val="55"/>
          <c:tx>
            <c:strRef>
              <c:f>Interpolation!$S$58</c:f>
              <c:strCache>
                <c:ptCount val="1"/>
                <c:pt idx="0">
                  <c:v>35.5</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Interpolation!$T$58:$CV$58</c:f>
              <c:numCache>
                <c:formatCode>General</c:formatCode>
                <c:ptCount val="81"/>
                <c:pt idx="0">
                  <c:v>9.4682774906009286E-3</c:v>
                </c:pt>
                <c:pt idx="1">
                  <c:v>9.2985918406307388E-3</c:v>
                </c:pt>
                <c:pt idx="2">
                  <c:v>9.1320161438235431E-3</c:v>
                </c:pt>
                <c:pt idx="3">
                  <c:v>8.9685504001793415E-3</c:v>
                </c:pt>
                <c:pt idx="4">
                  <c:v>8.8081946096981341E-3</c:v>
                </c:pt>
                <c:pt idx="5">
                  <c:v>8.6509487723799069E-3</c:v>
                </c:pt>
                <c:pt idx="6">
                  <c:v>8.4968128882246738E-3</c:v>
                </c:pt>
                <c:pt idx="7">
                  <c:v>8.3457869572324209E-3</c:v>
                </c:pt>
                <c:pt idx="8">
                  <c:v>8.1978709794031761E-3</c:v>
                </c:pt>
                <c:pt idx="9">
                  <c:v>8.0530649547369253E-3</c:v>
                </c:pt>
                <c:pt idx="10">
                  <c:v>7.9113688832336548E-3</c:v>
                </c:pt>
                <c:pt idx="11">
                  <c:v>7.7727827648933785E-3</c:v>
                </c:pt>
                <c:pt idx="12">
                  <c:v>7.6373065997160953E-3</c:v>
                </c:pt>
                <c:pt idx="13">
                  <c:v>7.5049403877018072E-3</c:v>
                </c:pt>
                <c:pt idx="14">
                  <c:v>7.3756841288504993E-3</c:v>
                </c:pt>
                <c:pt idx="15">
                  <c:v>7.2495378231621924E-3</c:v>
                </c:pt>
                <c:pt idx="16">
                  <c:v>7.1265014706368727E-3</c:v>
                </c:pt>
                <c:pt idx="17">
                  <c:v>7.0065750712745402E-3</c:v>
                </c:pt>
                <c:pt idx="18">
                  <c:v>6.8897586250752088E-3</c:v>
                </c:pt>
                <c:pt idx="19">
                  <c:v>6.7760521320388645E-3</c:v>
                </c:pt>
                <c:pt idx="20">
                  <c:v>6.6654555921655074E-3</c:v>
                </c:pt>
                <c:pt idx="21">
                  <c:v>6.5579690054551514E-3</c:v>
                </c:pt>
                <c:pt idx="22">
                  <c:v>6.4535923719077825E-3</c:v>
                </c:pt>
                <c:pt idx="23">
                  <c:v>6.3523256915234009E-3</c:v>
                </c:pt>
                <c:pt idx="24">
                  <c:v>6.2541689643020133E-3</c:v>
                </c:pt>
                <c:pt idx="25">
                  <c:v>6.1591221902436129E-3</c:v>
                </c:pt>
                <c:pt idx="26">
                  <c:v>6.0671853693482136E-3</c:v>
                </c:pt>
                <c:pt idx="27">
                  <c:v>5.9783585016158014E-3</c:v>
                </c:pt>
                <c:pt idx="28">
                  <c:v>5.8926415870463765E-3</c:v>
                </c:pt>
                <c:pt idx="29">
                  <c:v>5.8100346256399456E-3</c:v>
                </c:pt>
                <c:pt idx="30">
                  <c:v>5.7305376173965089E-3</c:v>
                </c:pt>
                <c:pt idx="31">
                  <c:v>5.6541505623160593E-3</c:v>
                </c:pt>
                <c:pt idx="32">
                  <c:v>5.5808734603986039E-3</c:v>
                </c:pt>
                <c:pt idx="33">
                  <c:v>5.5107063116441356E-3</c:v>
                </c:pt>
                <c:pt idx="34">
                  <c:v>5.4436491160526615E-3</c:v>
                </c:pt>
                <c:pt idx="35">
                  <c:v>5.3797018736241814E-3</c:v>
                </c:pt>
                <c:pt idx="36">
                  <c:v>5.3188645843586886E-3</c:v>
                </c:pt>
                <c:pt idx="37">
                  <c:v>5.2611372482561898E-3</c:v>
                </c:pt>
                <c:pt idx="38">
                  <c:v>5.2065198653166852E-3</c:v>
                </c:pt>
                <c:pt idx="39">
                  <c:v>5.1550124355401678E-3</c:v>
                </c:pt>
                <c:pt idx="40">
                  <c:v>5.1066149589266375E-3</c:v>
                </c:pt>
                <c:pt idx="41">
                  <c:v>5.0613274354761014E-3</c:v>
                </c:pt>
                <c:pt idx="42">
                  <c:v>5.0191498651885593E-3</c:v>
                </c:pt>
                <c:pt idx="43">
                  <c:v>4.9800822480640114E-3</c:v>
                </c:pt>
                <c:pt idx="44">
                  <c:v>4.9441245841024498E-3</c:v>
                </c:pt>
                <c:pt idx="45">
                  <c:v>4.9112768733038832E-3</c:v>
                </c:pt>
                <c:pt idx="46">
                  <c:v>4.8815391156683038E-3</c:v>
                </c:pt>
                <c:pt idx="47">
                  <c:v>4.8549113111957184E-3</c:v>
                </c:pt>
                <c:pt idx="48">
                  <c:v>4.8313934598861272E-3</c:v>
                </c:pt>
                <c:pt idx="49">
                  <c:v>4.8109855617395232E-3</c:v>
                </c:pt>
                <c:pt idx="50">
                  <c:v>4.7936876167559064E-3</c:v>
                </c:pt>
                <c:pt idx="51">
                  <c:v>4.7794996249352906E-3</c:v>
                </c:pt>
                <c:pt idx="52">
                  <c:v>4.768421586277662E-3</c:v>
                </c:pt>
                <c:pt idx="53">
                  <c:v>4.7604535007830205E-3</c:v>
                </c:pt>
                <c:pt idx="54">
                  <c:v>4.7555953684513732E-3</c:v>
                </c:pt>
                <c:pt idx="55">
                  <c:v>4.7538471892827269E-3</c:v>
                </c:pt>
                <c:pt idx="56">
                  <c:v>4.7552089632770609E-3</c:v>
                </c:pt>
                <c:pt idx="57">
                  <c:v>4.759680690434389E-3</c:v>
                </c:pt>
                <c:pt idx="58">
                  <c:v>4.7672623707547043E-3</c:v>
                </c:pt>
                <c:pt idx="59">
                  <c:v>4.7779540042380206E-3</c:v>
                </c:pt>
                <c:pt idx="60">
                  <c:v>4.7917555908843171E-3</c:v>
                </c:pt>
                <c:pt idx="61">
                  <c:v>4.8086671306936148E-3</c:v>
                </c:pt>
                <c:pt idx="62">
                  <c:v>4.8286886236658926E-3</c:v>
                </c:pt>
                <c:pt idx="63">
                  <c:v>4.8518200698011785E-3</c:v>
                </c:pt>
                <c:pt idx="64">
                  <c:v>4.8780614690994446E-3</c:v>
                </c:pt>
                <c:pt idx="65">
                  <c:v>4.9074128215606978E-3</c:v>
                </c:pt>
                <c:pt idx="66">
                  <c:v>4.9398741271849522E-3</c:v>
                </c:pt>
                <c:pt idx="67">
                  <c:v>4.9754453859721937E-3</c:v>
                </c:pt>
                <c:pt idx="68">
                  <c:v>5.0141265979224293E-3</c:v>
                </c:pt>
                <c:pt idx="69">
                  <c:v>5.0559177630356521E-3</c:v>
                </c:pt>
                <c:pt idx="70">
                  <c:v>5.100818881311869E-3</c:v>
                </c:pt>
                <c:pt idx="71">
                  <c:v>5.1488299527510731E-3</c:v>
                </c:pt>
                <c:pt idx="72">
                  <c:v>5.1999509773532713E-3</c:v>
                </c:pt>
                <c:pt idx="73">
                  <c:v>5.2541819551184636E-3</c:v>
                </c:pt>
                <c:pt idx="74">
                  <c:v>5.3115228860466362E-3</c:v>
                </c:pt>
                <c:pt idx="75">
                  <c:v>5.3719737701378167E-3</c:v>
                </c:pt>
                <c:pt idx="76">
                  <c:v>5.4355346073919775E-3</c:v>
                </c:pt>
                <c:pt idx="77">
                  <c:v>5.5022053978091325E-3</c:v>
                </c:pt>
                <c:pt idx="78">
                  <c:v>5.5719861413892815E-3</c:v>
                </c:pt>
                <c:pt idx="79">
                  <c:v>5.6448768381324246E-3</c:v>
                </c:pt>
                <c:pt idx="80">
                  <c:v>5.720877488038548E-3</c:v>
                </c:pt>
              </c:numCache>
            </c:numRef>
          </c:val>
          <c:extLst>
            <c:ext xmlns:c16="http://schemas.microsoft.com/office/drawing/2014/chart" uri="{C3380CC4-5D6E-409C-BE32-E72D297353CC}">
              <c16:uniqueId val="{000000AF-B0BD-44B6-BED5-7CDF3E877C37}"/>
            </c:ext>
          </c:extLst>
        </c:ser>
        <c:ser>
          <c:idx val="56"/>
          <c:order val="56"/>
          <c:tx>
            <c:strRef>
              <c:f>Interpolation!$S$59</c:f>
              <c:strCache>
                <c:ptCount val="1"/>
                <c:pt idx="0">
                  <c:v>35.6</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Interpolation!$T$59:$CV$59</c:f>
              <c:numCache>
                <c:formatCode>General</c:formatCode>
                <c:ptCount val="81"/>
                <c:pt idx="0">
                  <c:v>9.4745297299355085E-3</c:v>
                </c:pt>
                <c:pt idx="1">
                  <c:v>9.3047488493825849E-3</c:v>
                </c:pt>
                <c:pt idx="2">
                  <c:v>9.1380779219926572E-3</c:v>
                </c:pt>
                <c:pt idx="3">
                  <c:v>8.9745169477657219E-3</c:v>
                </c:pt>
                <c:pt idx="4">
                  <c:v>8.8140659267017807E-3</c:v>
                </c:pt>
                <c:pt idx="5">
                  <c:v>8.6567248588008214E-3</c:v>
                </c:pt>
                <c:pt idx="6">
                  <c:v>8.5024937440628546E-3</c:v>
                </c:pt>
                <c:pt idx="7">
                  <c:v>8.351372582487868E-3</c:v>
                </c:pt>
                <c:pt idx="8">
                  <c:v>8.2033613740758893E-3</c:v>
                </c:pt>
                <c:pt idx="9">
                  <c:v>8.0584601188269066E-3</c:v>
                </c:pt>
                <c:pt idx="10">
                  <c:v>7.9166688167409023E-3</c:v>
                </c:pt>
                <c:pt idx="11">
                  <c:v>7.777987467817893E-3</c:v>
                </c:pt>
                <c:pt idx="12">
                  <c:v>7.642416072057877E-3</c:v>
                </c:pt>
                <c:pt idx="13">
                  <c:v>7.5099546294608559E-3</c:v>
                </c:pt>
                <c:pt idx="14">
                  <c:v>7.3806031400268143E-3</c:v>
                </c:pt>
                <c:pt idx="15">
                  <c:v>7.2543616037557745E-3</c:v>
                </c:pt>
                <c:pt idx="16">
                  <c:v>7.1312300206477219E-3</c:v>
                </c:pt>
                <c:pt idx="17">
                  <c:v>7.0112083907026557E-3</c:v>
                </c:pt>
                <c:pt idx="18">
                  <c:v>6.8942967139205913E-3</c:v>
                </c:pt>
                <c:pt idx="19">
                  <c:v>6.7804949903015142E-3</c:v>
                </c:pt>
                <c:pt idx="20">
                  <c:v>6.6698032198454233E-3</c:v>
                </c:pt>
                <c:pt idx="21">
                  <c:v>6.5622214025523344E-3</c:v>
                </c:pt>
                <c:pt idx="22">
                  <c:v>6.4577495384222318E-3</c:v>
                </c:pt>
                <c:pt idx="23">
                  <c:v>6.3563876274551172E-3</c:v>
                </c:pt>
                <c:pt idx="24">
                  <c:v>6.2581356696509959E-3</c:v>
                </c:pt>
                <c:pt idx="25">
                  <c:v>6.1629936650098626E-3</c:v>
                </c:pt>
                <c:pt idx="26">
                  <c:v>6.0709616135317303E-3</c:v>
                </c:pt>
                <c:pt idx="27">
                  <c:v>5.9820395152165844E-3</c:v>
                </c:pt>
                <c:pt idx="28">
                  <c:v>5.8962273700644266E-3</c:v>
                </c:pt>
                <c:pt idx="29">
                  <c:v>5.8135251780752628E-3</c:v>
                </c:pt>
                <c:pt idx="30">
                  <c:v>5.7339329392490923E-3</c:v>
                </c:pt>
                <c:pt idx="31">
                  <c:v>5.6574506535859099E-3</c:v>
                </c:pt>
                <c:pt idx="32">
                  <c:v>5.5840783210857215E-3</c:v>
                </c:pt>
                <c:pt idx="33">
                  <c:v>5.5138159417485195E-3</c:v>
                </c:pt>
                <c:pt idx="34">
                  <c:v>5.4466635155743116E-3</c:v>
                </c:pt>
                <c:pt idx="35">
                  <c:v>5.3826210425630986E-3</c:v>
                </c:pt>
                <c:pt idx="36">
                  <c:v>5.3216885227148729E-3</c:v>
                </c:pt>
                <c:pt idx="37">
                  <c:v>5.2638659560296404E-3</c:v>
                </c:pt>
                <c:pt idx="38">
                  <c:v>5.2091533425074029E-3</c:v>
                </c:pt>
                <c:pt idx="39">
                  <c:v>5.1575506821481525E-3</c:v>
                </c:pt>
                <c:pt idx="40">
                  <c:v>5.1090579749518885E-3</c:v>
                </c:pt>
                <c:pt idx="41">
                  <c:v>5.0636752209186195E-3</c:v>
                </c:pt>
                <c:pt idx="42">
                  <c:v>5.0214024200483445E-3</c:v>
                </c:pt>
                <c:pt idx="43">
                  <c:v>4.9822395723410628E-3</c:v>
                </c:pt>
                <c:pt idx="44">
                  <c:v>4.9461866777967683E-3</c:v>
                </c:pt>
                <c:pt idx="45">
                  <c:v>4.9132437364154688E-3</c:v>
                </c:pt>
                <c:pt idx="46">
                  <c:v>4.8834107481971565E-3</c:v>
                </c:pt>
                <c:pt idx="47">
                  <c:v>4.8566877131418374E-3</c:v>
                </c:pt>
                <c:pt idx="48">
                  <c:v>4.8330746312495133E-3</c:v>
                </c:pt>
                <c:pt idx="49">
                  <c:v>4.8125715025201764E-3</c:v>
                </c:pt>
                <c:pt idx="50">
                  <c:v>4.7951783269538258E-3</c:v>
                </c:pt>
                <c:pt idx="51">
                  <c:v>4.7808951045504771E-3</c:v>
                </c:pt>
                <c:pt idx="52">
                  <c:v>4.7697218353101156E-3</c:v>
                </c:pt>
                <c:pt idx="53">
                  <c:v>4.7616585192327403E-3</c:v>
                </c:pt>
                <c:pt idx="54">
                  <c:v>4.7567051563183593E-3</c:v>
                </c:pt>
                <c:pt idx="55">
                  <c:v>4.754861746566981E-3</c:v>
                </c:pt>
                <c:pt idx="56">
                  <c:v>4.7561282899785812E-3</c:v>
                </c:pt>
                <c:pt idx="57">
                  <c:v>4.7605047865531755E-3</c:v>
                </c:pt>
                <c:pt idx="58">
                  <c:v>4.767991236290757E-3</c:v>
                </c:pt>
                <c:pt idx="59">
                  <c:v>4.7785876391913413E-3</c:v>
                </c:pt>
                <c:pt idx="60">
                  <c:v>4.7922939952549041E-3</c:v>
                </c:pt>
                <c:pt idx="61">
                  <c:v>4.8091103044814688E-3</c:v>
                </c:pt>
                <c:pt idx="62">
                  <c:v>4.8290365668710138E-3</c:v>
                </c:pt>
                <c:pt idx="63">
                  <c:v>4.8520727824235658E-3</c:v>
                </c:pt>
                <c:pt idx="64">
                  <c:v>4.878218951139099E-3</c:v>
                </c:pt>
                <c:pt idx="65">
                  <c:v>4.9074750730176185E-3</c:v>
                </c:pt>
                <c:pt idx="66">
                  <c:v>4.93984114805914E-3</c:v>
                </c:pt>
                <c:pt idx="67">
                  <c:v>4.9753171762636477E-3</c:v>
                </c:pt>
                <c:pt idx="68">
                  <c:v>5.0139031576311504E-3</c:v>
                </c:pt>
                <c:pt idx="69">
                  <c:v>5.0555990921616403E-3</c:v>
                </c:pt>
                <c:pt idx="70">
                  <c:v>5.1004049798551235E-3</c:v>
                </c:pt>
                <c:pt idx="71">
                  <c:v>5.1483208207115938E-3</c:v>
                </c:pt>
                <c:pt idx="72">
                  <c:v>5.19934661473106E-3</c:v>
                </c:pt>
                <c:pt idx="73">
                  <c:v>5.2534823619135185E-3</c:v>
                </c:pt>
                <c:pt idx="74">
                  <c:v>5.3107280622589582E-3</c:v>
                </c:pt>
                <c:pt idx="75">
                  <c:v>5.371083715767405E-3</c:v>
                </c:pt>
                <c:pt idx="76">
                  <c:v>5.4345493224388329E-3</c:v>
                </c:pt>
                <c:pt idx="77">
                  <c:v>5.5011248822732541E-3</c:v>
                </c:pt>
                <c:pt idx="78">
                  <c:v>5.5708103952706702E-3</c:v>
                </c:pt>
                <c:pt idx="79">
                  <c:v>5.6436058614310804E-3</c:v>
                </c:pt>
                <c:pt idx="80">
                  <c:v>5.7195112807544701E-3</c:v>
                </c:pt>
              </c:numCache>
            </c:numRef>
          </c:val>
          <c:extLst>
            <c:ext xmlns:c16="http://schemas.microsoft.com/office/drawing/2014/chart" uri="{C3380CC4-5D6E-409C-BE32-E72D297353CC}">
              <c16:uniqueId val="{000000B0-B0BD-44B6-BED5-7CDF3E877C37}"/>
            </c:ext>
          </c:extLst>
        </c:ser>
        <c:ser>
          <c:idx val="57"/>
          <c:order val="57"/>
          <c:tx>
            <c:strRef>
              <c:f>Interpolation!$S$60</c:f>
              <c:strCache>
                <c:ptCount val="1"/>
                <c:pt idx="0">
                  <c:v>35.7</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Interpolation!$T$60:$CV$60</c:f>
              <c:numCache>
                <c:formatCode>General</c:formatCode>
                <c:ptCount val="81"/>
                <c:pt idx="0">
                  <c:v>9.4816824229968996E-3</c:v>
                </c:pt>
                <c:pt idx="1">
                  <c:v>9.311806311861244E-3</c:v>
                </c:pt>
                <c:pt idx="2">
                  <c:v>9.1450401538885808E-3</c:v>
                </c:pt>
                <c:pt idx="3">
                  <c:v>8.9813839490789135E-3</c:v>
                </c:pt>
                <c:pt idx="4">
                  <c:v>8.8208376974322402E-3</c:v>
                </c:pt>
                <c:pt idx="5">
                  <c:v>8.6634013989485455E-3</c:v>
                </c:pt>
                <c:pt idx="6">
                  <c:v>8.5090750536278466E-3</c:v>
                </c:pt>
                <c:pt idx="7">
                  <c:v>8.3578586614701262E-3</c:v>
                </c:pt>
                <c:pt idx="8">
                  <c:v>8.2097522224754155E-3</c:v>
                </c:pt>
                <c:pt idx="9">
                  <c:v>8.064755736643699E-3</c:v>
                </c:pt>
                <c:pt idx="10">
                  <c:v>7.922869203974961E-3</c:v>
                </c:pt>
                <c:pt idx="11">
                  <c:v>7.7840926244692188E-3</c:v>
                </c:pt>
                <c:pt idx="12">
                  <c:v>7.6484259981264699E-3</c:v>
                </c:pt>
                <c:pt idx="13">
                  <c:v>7.515869324946715E-3</c:v>
                </c:pt>
                <c:pt idx="14">
                  <c:v>7.3864226049299413E-3</c:v>
                </c:pt>
                <c:pt idx="15">
                  <c:v>7.2600858380761678E-3</c:v>
                </c:pt>
                <c:pt idx="16">
                  <c:v>7.1368590243853815E-3</c:v>
                </c:pt>
                <c:pt idx="17">
                  <c:v>7.0167421638575823E-3</c:v>
                </c:pt>
                <c:pt idx="18">
                  <c:v>6.8997352564927842E-3</c:v>
                </c:pt>
                <c:pt idx="19">
                  <c:v>6.7858383022909741E-3</c:v>
                </c:pt>
                <c:pt idx="20">
                  <c:v>6.6750513012521504E-3</c:v>
                </c:pt>
                <c:pt idx="21">
                  <c:v>6.5673742533763277E-3</c:v>
                </c:pt>
                <c:pt idx="22">
                  <c:v>6.462807158663493E-3</c:v>
                </c:pt>
                <c:pt idx="23">
                  <c:v>6.3613500171136438E-3</c:v>
                </c:pt>
                <c:pt idx="24">
                  <c:v>6.2630028287267905E-3</c:v>
                </c:pt>
                <c:pt idx="25">
                  <c:v>6.1677655935029234E-3</c:v>
                </c:pt>
                <c:pt idx="26">
                  <c:v>6.0756383114420574E-3</c:v>
                </c:pt>
                <c:pt idx="27">
                  <c:v>5.9866209825441795E-3</c:v>
                </c:pt>
                <c:pt idx="28">
                  <c:v>5.9007136068092879E-3</c:v>
                </c:pt>
                <c:pt idx="29">
                  <c:v>5.8179161842373903E-3</c:v>
                </c:pt>
                <c:pt idx="30">
                  <c:v>5.7382287148284869E-3</c:v>
                </c:pt>
                <c:pt idx="31">
                  <c:v>5.6616511985825716E-3</c:v>
                </c:pt>
                <c:pt idx="32">
                  <c:v>5.5881836354996495E-3</c:v>
                </c:pt>
                <c:pt idx="33">
                  <c:v>5.5178260255797145E-3</c:v>
                </c:pt>
                <c:pt idx="34">
                  <c:v>5.4505783688227737E-3</c:v>
                </c:pt>
                <c:pt idx="35">
                  <c:v>5.3864406652288279E-3</c:v>
                </c:pt>
                <c:pt idx="36">
                  <c:v>5.3254129147978684E-3</c:v>
                </c:pt>
                <c:pt idx="37">
                  <c:v>5.267495117529903E-3</c:v>
                </c:pt>
                <c:pt idx="38">
                  <c:v>5.2126872734249317E-3</c:v>
                </c:pt>
                <c:pt idx="39">
                  <c:v>5.1609893824829476E-3</c:v>
                </c:pt>
                <c:pt idx="40">
                  <c:v>5.1124014447039515E-3</c:v>
                </c:pt>
                <c:pt idx="41">
                  <c:v>5.0669234600879487E-3</c:v>
                </c:pt>
                <c:pt idx="42">
                  <c:v>5.02455542863494E-3</c:v>
                </c:pt>
                <c:pt idx="43">
                  <c:v>4.9852973503449255E-3</c:v>
                </c:pt>
                <c:pt idx="44">
                  <c:v>4.9491492252178981E-3</c:v>
                </c:pt>
                <c:pt idx="45">
                  <c:v>4.9161110532538656E-3</c:v>
                </c:pt>
                <c:pt idx="46">
                  <c:v>4.8861828344528195E-3</c:v>
                </c:pt>
                <c:pt idx="47">
                  <c:v>4.8593645688147676E-3</c:v>
                </c:pt>
                <c:pt idx="48">
                  <c:v>4.8356562563397106E-3</c:v>
                </c:pt>
                <c:pt idx="49">
                  <c:v>4.8150578970276399E-3</c:v>
                </c:pt>
                <c:pt idx="50">
                  <c:v>4.7975694908785563E-3</c:v>
                </c:pt>
                <c:pt idx="51">
                  <c:v>4.7831910378924748E-3</c:v>
                </c:pt>
                <c:pt idx="52">
                  <c:v>4.7719225380693786E-3</c:v>
                </c:pt>
                <c:pt idx="53">
                  <c:v>4.7637639914092714E-3</c:v>
                </c:pt>
                <c:pt idx="54">
                  <c:v>4.7587153979121574E-3</c:v>
                </c:pt>
                <c:pt idx="55">
                  <c:v>4.7567767575780445E-3</c:v>
                </c:pt>
                <c:pt idx="56">
                  <c:v>4.7579480704069118E-3</c:v>
                </c:pt>
                <c:pt idx="57">
                  <c:v>4.7622293363987732E-3</c:v>
                </c:pt>
                <c:pt idx="58">
                  <c:v>4.7696205555536227E-3</c:v>
                </c:pt>
                <c:pt idx="59">
                  <c:v>4.7801217278714732E-3</c:v>
                </c:pt>
                <c:pt idx="60">
                  <c:v>4.7937328533523022E-3</c:v>
                </c:pt>
                <c:pt idx="61">
                  <c:v>4.810453931996134E-3</c:v>
                </c:pt>
                <c:pt idx="62">
                  <c:v>4.8302849638029452E-3</c:v>
                </c:pt>
                <c:pt idx="63">
                  <c:v>4.8532259487727644E-3</c:v>
                </c:pt>
                <c:pt idx="64">
                  <c:v>4.8792768869055647E-3</c:v>
                </c:pt>
                <c:pt idx="65">
                  <c:v>4.9084377782013505E-3</c:v>
                </c:pt>
                <c:pt idx="66">
                  <c:v>4.940708622660139E-3</c:v>
                </c:pt>
                <c:pt idx="67">
                  <c:v>4.976089420281913E-3</c:v>
                </c:pt>
                <c:pt idx="68">
                  <c:v>5.0145801710666828E-3</c:v>
                </c:pt>
                <c:pt idx="69">
                  <c:v>5.0561808750144389E-3</c:v>
                </c:pt>
                <c:pt idx="70">
                  <c:v>5.1008915321251892E-3</c:v>
                </c:pt>
                <c:pt idx="71">
                  <c:v>5.1487121423989275E-3</c:v>
                </c:pt>
                <c:pt idx="72">
                  <c:v>5.1996427058356599E-3</c:v>
                </c:pt>
                <c:pt idx="73">
                  <c:v>5.2536832224353847E-3</c:v>
                </c:pt>
                <c:pt idx="74">
                  <c:v>5.3108336921980914E-3</c:v>
                </c:pt>
                <c:pt idx="75">
                  <c:v>5.3710941151238045E-3</c:v>
                </c:pt>
                <c:pt idx="76">
                  <c:v>5.4344644912124995E-3</c:v>
                </c:pt>
                <c:pt idx="77">
                  <c:v>5.5009448204641877E-3</c:v>
                </c:pt>
                <c:pt idx="78">
                  <c:v>5.5705351028788701E-3</c:v>
                </c:pt>
                <c:pt idx="79">
                  <c:v>5.6432353384565474E-3</c:v>
                </c:pt>
                <c:pt idx="80">
                  <c:v>5.7190455271972042E-3</c:v>
                </c:pt>
              </c:numCache>
            </c:numRef>
          </c:val>
          <c:extLst>
            <c:ext xmlns:c16="http://schemas.microsoft.com/office/drawing/2014/chart" uri="{C3380CC4-5D6E-409C-BE32-E72D297353CC}">
              <c16:uniqueId val="{000000B1-B0BD-44B6-BED5-7CDF3E877C37}"/>
            </c:ext>
          </c:extLst>
        </c:ser>
        <c:ser>
          <c:idx val="58"/>
          <c:order val="58"/>
          <c:tx>
            <c:strRef>
              <c:f>Interpolation!$S$61</c:f>
              <c:strCache>
                <c:ptCount val="1"/>
                <c:pt idx="0">
                  <c:v>35.8</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Interpolation!$T$61:$CV$61</c:f>
              <c:numCache>
                <c:formatCode>General</c:formatCode>
                <c:ptCount val="81"/>
                <c:pt idx="0">
                  <c:v>9.4897355697851158E-3</c:v>
                </c:pt>
                <c:pt idx="1">
                  <c:v>9.3197642280667264E-3</c:v>
                </c:pt>
                <c:pt idx="2">
                  <c:v>9.1529028395113312E-3</c:v>
                </c:pt>
                <c:pt idx="3">
                  <c:v>8.9891514041189301E-3</c:v>
                </c:pt>
                <c:pt idx="4">
                  <c:v>8.8285099218895231E-3</c:v>
                </c:pt>
                <c:pt idx="5">
                  <c:v>8.6709783928230963E-3</c:v>
                </c:pt>
                <c:pt idx="6">
                  <c:v>8.5165568169196636E-3</c:v>
                </c:pt>
                <c:pt idx="7">
                  <c:v>8.3652451941792112E-3</c:v>
                </c:pt>
                <c:pt idx="8">
                  <c:v>8.2170435246017668E-3</c:v>
                </c:pt>
                <c:pt idx="9">
                  <c:v>8.0719518081873165E-3</c:v>
                </c:pt>
                <c:pt idx="10">
                  <c:v>7.9299700449358464E-3</c:v>
                </c:pt>
                <c:pt idx="11">
                  <c:v>7.7910982348473696E-3</c:v>
                </c:pt>
                <c:pt idx="12">
                  <c:v>7.6553363779218878E-3</c:v>
                </c:pt>
                <c:pt idx="13">
                  <c:v>7.5226844741594001E-3</c:v>
                </c:pt>
                <c:pt idx="14">
                  <c:v>7.3931425235598926E-3</c:v>
                </c:pt>
                <c:pt idx="15">
                  <c:v>7.2667105261233862E-3</c:v>
                </c:pt>
                <c:pt idx="16">
                  <c:v>7.1433884818498669E-3</c:v>
                </c:pt>
                <c:pt idx="17">
                  <c:v>7.023176390739334E-3</c:v>
                </c:pt>
                <c:pt idx="18">
                  <c:v>6.906074252791803E-3</c:v>
                </c:pt>
                <c:pt idx="19">
                  <c:v>6.7920820680072592E-3</c:v>
                </c:pt>
                <c:pt idx="20">
                  <c:v>6.6811998363857025E-3</c:v>
                </c:pt>
                <c:pt idx="21">
                  <c:v>6.5734275579271469E-3</c:v>
                </c:pt>
                <c:pt idx="22">
                  <c:v>6.4687652326315785E-3</c:v>
                </c:pt>
                <c:pt idx="23">
                  <c:v>6.3672128604989973E-3</c:v>
                </c:pt>
                <c:pt idx="24">
                  <c:v>6.2687704415294102E-3</c:v>
                </c:pt>
                <c:pt idx="25">
                  <c:v>6.1734379757228102E-3</c:v>
                </c:pt>
                <c:pt idx="26">
                  <c:v>6.0812154630792113E-3</c:v>
                </c:pt>
                <c:pt idx="27">
                  <c:v>5.9921029035985987E-3</c:v>
                </c:pt>
                <c:pt idx="28">
                  <c:v>5.9061002972809742E-3</c:v>
                </c:pt>
                <c:pt idx="29">
                  <c:v>5.8232076441263438E-3</c:v>
                </c:pt>
                <c:pt idx="30">
                  <c:v>5.7434249441347075E-3</c:v>
                </c:pt>
                <c:pt idx="31">
                  <c:v>5.6667521973060584E-3</c:v>
                </c:pt>
                <c:pt idx="32">
                  <c:v>5.5931894036404034E-3</c:v>
                </c:pt>
                <c:pt idx="33">
                  <c:v>5.5227365631377347E-3</c:v>
                </c:pt>
                <c:pt idx="34">
                  <c:v>5.455393675798061E-3</c:v>
                </c:pt>
                <c:pt idx="35">
                  <c:v>5.3911607416213814E-3</c:v>
                </c:pt>
                <c:pt idx="36">
                  <c:v>5.330037760607689E-3</c:v>
                </c:pt>
                <c:pt idx="37">
                  <c:v>5.2720247327569907E-3</c:v>
                </c:pt>
                <c:pt idx="38">
                  <c:v>5.2171216580692865E-3</c:v>
                </c:pt>
                <c:pt idx="39">
                  <c:v>5.1653285365445695E-3</c:v>
                </c:pt>
                <c:pt idx="40">
                  <c:v>5.1166453681828396E-3</c:v>
                </c:pt>
                <c:pt idx="41">
                  <c:v>5.0710721529841039E-3</c:v>
                </c:pt>
                <c:pt idx="42">
                  <c:v>5.0286088909483615E-3</c:v>
                </c:pt>
                <c:pt idx="43">
                  <c:v>4.989255582075614E-3</c:v>
                </c:pt>
                <c:pt idx="44">
                  <c:v>4.9530122263658537E-3</c:v>
                </c:pt>
                <c:pt idx="45">
                  <c:v>4.9198788238190875E-3</c:v>
                </c:pt>
                <c:pt idx="46">
                  <c:v>4.8898553744353077E-3</c:v>
                </c:pt>
                <c:pt idx="47">
                  <c:v>4.8629418782145236E-3</c:v>
                </c:pt>
                <c:pt idx="48">
                  <c:v>4.839138335156732E-3</c:v>
                </c:pt>
                <c:pt idx="49">
                  <c:v>4.8184447452619284E-3</c:v>
                </c:pt>
                <c:pt idx="50">
                  <c:v>4.800861108530112E-3</c:v>
                </c:pt>
                <c:pt idx="51">
                  <c:v>4.7863874249612966E-3</c:v>
                </c:pt>
                <c:pt idx="52">
                  <c:v>4.7750236945554685E-3</c:v>
                </c:pt>
                <c:pt idx="53">
                  <c:v>4.7667699173126275E-3</c:v>
                </c:pt>
                <c:pt idx="54">
                  <c:v>4.7616260932327806E-3</c:v>
                </c:pt>
                <c:pt idx="55">
                  <c:v>4.7595922223159347E-3</c:v>
                </c:pt>
                <c:pt idx="56">
                  <c:v>4.7606683045620683E-3</c:v>
                </c:pt>
                <c:pt idx="57">
                  <c:v>4.7648543399711968E-3</c:v>
                </c:pt>
                <c:pt idx="58">
                  <c:v>4.7721503285433125E-3</c:v>
                </c:pt>
                <c:pt idx="59">
                  <c:v>4.7825562702784302E-3</c:v>
                </c:pt>
                <c:pt idx="60">
                  <c:v>4.7960721651765263E-3</c:v>
                </c:pt>
                <c:pt idx="61">
                  <c:v>4.8126980132376243E-3</c:v>
                </c:pt>
                <c:pt idx="62">
                  <c:v>4.8324338144617026E-3</c:v>
                </c:pt>
                <c:pt idx="63">
                  <c:v>4.8552795688487889E-3</c:v>
                </c:pt>
                <c:pt idx="64">
                  <c:v>4.8812352763988546E-3</c:v>
                </c:pt>
                <c:pt idx="65">
                  <c:v>4.9103009371119083E-3</c:v>
                </c:pt>
                <c:pt idx="66">
                  <c:v>4.9424765509879631E-3</c:v>
                </c:pt>
                <c:pt idx="67">
                  <c:v>4.977762118027005E-3</c:v>
                </c:pt>
                <c:pt idx="68">
                  <c:v>5.0161576382290411E-3</c:v>
                </c:pt>
                <c:pt idx="69">
                  <c:v>5.0576631115940643E-3</c:v>
                </c:pt>
                <c:pt idx="70">
                  <c:v>5.1022785381220816E-3</c:v>
                </c:pt>
                <c:pt idx="71">
                  <c:v>5.1500039178130862E-3</c:v>
                </c:pt>
                <c:pt idx="72">
                  <c:v>5.2008392506670848E-3</c:v>
                </c:pt>
                <c:pt idx="73">
                  <c:v>5.2547845366840776E-3</c:v>
                </c:pt>
                <c:pt idx="74">
                  <c:v>5.3118397758640506E-3</c:v>
                </c:pt>
                <c:pt idx="75">
                  <c:v>5.3720049682070307E-3</c:v>
                </c:pt>
                <c:pt idx="76">
                  <c:v>5.4352801137129911E-3</c:v>
                </c:pt>
                <c:pt idx="77">
                  <c:v>5.5016652123819464E-3</c:v>
                </c:pt>
                <c:pt idx="78">
                  <c:v>5.5711602642138959E-3</c:v>
                </c:pt>
                <c:pt idx="79">
                  <c:v>5.6437652692088395E-3</c:v>
                </c:pt>
                <c:pt idx="80">
                  <c:v>5.7194802273667633E-3</c:v>
                </c:pt>
              </c:numCache>
            </c:numRef>
          </c:val>
          <c:extLst>
            <c:ext xmlns:c16="http://schemas.microsoft.com/office/drawing/2014/chart" uri="{C3380CC4-5D6E-409C-BE32-E72D297353CC}">
              <c16:uniqueId val="{000000B2-B0BD-44B6-BED5-7CDF3E877C37}"/>
            </c:ext>
          </c:extLst>
        </c:ser>
        <c:ser>
          <c:idx val="59"/>
          <c:order val="59"/>
          <c:tx>
            <c:strRef>
              <c:f>Interpolation!$S$62</c:f>
              <c:strCache>
                <c:ptCount val="1"/>
                <c:pt idx="0">
                  <c:v>35.9</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Interpolation!$T$62:$CV$62</c:f>
              <c:numCache>
                <c:formatCode>General</c:formatCode>
                <c:ptCount val="81"/>
                <c:pt idx="0">
                  <c:v>9.4986891703001432E-3</c:v>
                </c:pt>
                <c:pt idx="1">
                  <c:v>9.3286225979990218E-3</c:v>
                </c:pt>
                <c:pt idx="2">
                  <c:v>9.1616659788608928E-3</c:v>
                </c:pt>
                <c:pt idx="3">
                  <c:v>8.9978193128857579E-3</c:v>
                </c:pt>
                <c:pt idx="4">
                  <c:v>8.8370826000736171E-3</c:v>
                </c:pt>
                <c:pt idx="5">
                  <c:v>8.6794558404244583E-3</c:v>
                </c:pt>
                <c:pt idx="6">
                  <c:v>8.5249390339382919E-3</c:v>
                </c:pt>
                <c:pt idx="7">
                  <c:v>8.3735321806151057E-3</c:v>
                </c:pt>
                <c:pt idx="8">
                  <c:v>8.2252352804549275E-3</c:v>
                </c:pt>
                <c:pt idx="9">
                  <c:v>8.0800483334577452E-3</c:v>
                </c:pt>
                <c:pt idx="10">
                  <c:v>7.9379713396235414E-3</c:v>
                </c:pt>
                <c:pt idx="11">
                  <c:v>7.7990042989523325E-3</c:v>
                </c:pt>
                <c:pt idx="12">
                  <c:v>7.6631472114441169E-3</c:v>
                </c:pt>
                <c:pt idx="13">
                  <c:v>7.5304000770988963E-3</c:v>
                </c:pt>
                <c:pt idx="14">
                  <c:v>7.4007628959166551E-3</c:v>
                </c:pt>
                <c:pt idx="15">
                  <c:v>7.2742356678974149E-3</c:v>
                </c:pt>
                <c:pt idx="16">
                  <c:v>7.1508183930411627E-3</c:v>
                </c:pt>
                <c:pt idx="17">
                  <c:v>7.0305110713478969E-3</c:v>
                </c:pt>
                <c:pt idx="18">
                  <c:v>6.913313702817633E-3</c:v>
                </c:pt>
                <c:pt idx="19">
                  <c:v>6.7992262874503554E-3</c:v>
                </c:pt>
                <c:pt idx="20">
                  <c:v>6.6882488252460659E-3</c:v>
                </c:pt>
                <c:pt idx="21">
                  <c:v>6.5803813162047774E-3</c:v>
                </c:pt>
                <c:pt idx="22">
                  <c:v>6.4756237603264752E-3</c:v>
                </c:pt>
                <c:pt idx="23">
                  <c:v>6.3739761576111602E-3</c:v>
                </c:pt>
                <c:pt idx="24">
                  <c:v>6.2754385080588402E-3</c:v>
                </c:pt>
                <c:pt idx="25">
                  <c:v>6.1800108116695073E-3</c:v>
                </c:pt>
                <c:pt idx="26">
                  <c:v>6.0876930684431747E-3</c:v>
                </c:pt>
                <c:pt idx="27">
                  <c:v>5.9984852783798301E-3</c:v>
                </c:pt>
                <c:pt idx="28">
                  <c:v>5.9123874414794718E-3</c:v>
                </c:pt>
                <c:pt idx="29">
                  <c:v>5.8293995577421076E-3</c:v>
                </c:pt>
                <c:pt idx="30">
                  <c:v>5.7495216271677384E-3</c:v>
                </c:pt>
                <c:pt idx="31">
                  <c:v>5.6727536497563564E-3</c:v>
                </c:pt>
                <c:pt idx="32">
                  <c:v>5.5990956255079676E-3</c:v>
                </c:pt>
                <c:pt idx="33">
                  <c:v>5.5285475544225669E-3</c:v>
                </c:pt>
                <c:pt idx="34">
                  <c:v>5.4611094365001594E-3</c:v>
                </c:pt>
                <c:pt idx="35">
                  <c:v>5.396781271740746E-3</c:v>
                </c:pt>
                <c:pt idx="36">
                  <c:v>5.3355630601443207E-3</c:v>
                </c:pt>
                <c:pt idx="37">
                  <c:v>5.2774548017108895E-3</c:v>
                </c:pt>
                <c:pt idx="38">
                  <c:v>5.2224564964404516E-3</c:v>
                </c:pt>
                <c:pt idx="39">
                  <c:v>5.1705681443330008E-3</c:v>
                </c:pt>
                <c:pt idx="40">
                  <c:v>5.1217897453885381E-3</c:v>
                </c:pt>
                <c:pt idx="41">
                  <c:v>5.0761212996070695E-3</c:v>
                </c:pt>
                <c:pt idx="42">
                  <c:v>5.0335628069885941E-3</c:v>
                </c:pt>
                <c:pt idx="43">
                  <c:v>4.9941142675331129E-3</c:v>
                </c:pt>
                <c:pt idx="44">
                  <c:v>4.9577756812406197E-3</c:v>
                </c:pt>
                <c:pt idx="45">
                  <c:v>4.9245470481111197E-3</c:v>
                </c:pt>
                <c:pt idx="46">
                  <c:v>4.8944283681446078E-3</c:v>
                </c:pt>
                <c:pt idx="47">
                  <c:v>4.8674196413410892E-3</c:v>
                </c:pt>
                <c:pt idx="48">
                  <c:v>4.8435208677005655E-3</c:v>
                </c:pt>
                <c:pt idx="49">
                  <c:v>4.822732047223029E-3</c:v>
                </c:pt>
                <c:pt idx="50">
                  <c:v>4.8050531799084788E-3</c:v>
                </c:pt>
                <c:pt idx="51">
                  <c:v>4.7904842657569297E-3</c:v>
                </c:pt>
                <c:pt idx="52">
                  <c:v>4.7790253047683686E-3</c:v>
                </c:pt>
                <c:pt idx="53">
                  <c:v>4.7706762969427947E-3</c:v>
                </c:pt>
                <c:pt idx="54">
                  <c:v>4.7654372422802141E-3</c:v>
                </c:pt>
                <c:pt idx="55">
                  <c:v>4.7633081407806345E-3</c:v>
                </c:pt>
                <c:pt idx="56">
                  <c:v>4.7642889924440351E-3</c:v>
                </c:pt>
                <c:pt idx="57">
                  <c:v>4.7683797972704308E-3</c:v>
                </c:pt>
                <c:pt idx="58">
                  <c:v>4.7755805552598136E-3</c:v>
                </c:pt>
                <c:pt idx="59">
                  <c:v>4.7858912664121966E-3</c:v>
                </c:pt>
                <c:pt idx="60">
                  <c:v>4.7993119307275607E-3</c:v>
                </c:pt>
                <c:pt idx="61">
                  <c:v>4.8158425482059258E-3</c:v>
                </c:pt>
                <c:pt idx="62">
                  <c:v>4.8354831188472704E-3</c:v>
                </c:pt>
                <c:pt idx="63">
                  <c:v>4.8582336426516229E-3</c:v>
                </c:pt>
                <c:pt idx="64">
                  <c:v>4.8840941196189574E-3</c:v>
                </c:pt>
                <c:pt idx="65">
                  <c:v>4.9130645497492765E-3</c:v>
                </c:pt>
                <c:pt idx="66">
                  <c:v>4.9451449330425983E-3</c:v>
                </c:pt>
                <c:pt idx="67">
                  <c:v>4.9803352694989065E-3</c:v>
                </c:pt>
                <c:pt idx="68">
                  <c:v>5.0186355591182088E-3</c:v>
                </c:pt>
                <c:pt idx="69">
                  <c:v>5.0600458019005E-3</c:v>
                </c:pt>
                <c:pt idx="70">
                  <c:v>5.1045659978457836E-3</c:v>
                </c:pt>
                <c:pt idx="71">
                  <c:v>5.1521961469540543E-3</c:v>
                </c:pt>
                <c:pt idx="72">
                  <c:v>5.202936249225321E-3</c:v>
                </c:pt>
                <c:pt idx="73">
                  <c:v>5.25678630465958E-3</c:v>
                </c:pt>
                <c:pt idx="74">
                  <c:v>5.3137463132568192E-3</c:v>
                </c:pt>
                <c:pt idx="75">
                  <c:v>5.3738162750170664E-3</c:v>
                </c:pt>
                <c:pt idx="76">
                  <c:v>5.4369961899402948E-3</c:v>
                </c:pt>
                <c:pt idx="77">
                  <c:v>5.5032860580265172E-3</c:v>
                </c:pt>
                <c:pt idx="78">
                  <c:v>5.5726858792757329E-3</c:v>
                </c:pt>
                <c:pt idx="79">
                  <c:v>5.6451956536879427E-3</c:v>
                </c:pt>
                <c:pt idx="80">
                  <c:v>5.7208153812631337E-3</c:v>
                </c:pt>
              </c:numCache>
            </c:numRef>
          </c:val>
          <c:extLst>
            <c:ext xmlns:c16="http://schemas.microsoft.com/office/drawing/2014/chart" uri="{C3380CC4-5D6E-409C-BE32-E72D297353CC}">
              <c16:uniqueId val="{000000B3-B0BD-44B6-BED5-7CDF3E877C37}"/>
            </c:ext>
          </c:extLst>
        </c:ser>
        <c:ser>
          <c:idx val="60"/>
          <c:order val="60"/>
          <c:tx>
            <c:strRef>
              <c:f>Interpolation!$S$63</c:f>
              <c:strCache>
                <c:ptCount val="1"/>
                <c:pt idx="0">
                  <c:v>36</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Interpolation!$T$63:$CV$63</c:f>
              <c:numCache>
                <c:formatCode>General</c:formatCode>
                <c:ptCount val="81"/>
                <c:pt idx="0">
                  <c:v>9.5085432245419904E-3</c:v>
                </c:pt>
                <c:pt idx="1">
                  <c:v>9.3383814216581335E-3</c:v>
                </c:pt>
                <c:pt idx="2">
                  <c:v>9.1713295719372725E-3</c:v>
                </c:pt>
                <c:pt idx="3">
                  <c:v>9.0073876753794038E-3</c:v>
                </c:pt>
                <c:pt idx="4">
                  <c:v>8.846555731984531E-3</c:v>
                </c:pt>
                <c:pt idx="5">
                  <c:v>8.6888337417526385E-3</c:v>
                </c:pt>
                <c:pt idx="6">
                  <c:v>8.5342217046837383E-3</c:v>
                </c:pt>
                <c:pt idx="7">
                  <c:v>8.3827196207778201E-3</c:v>
                </c:pt>
                <c:pt idx="8">
                  <c:v>8.2343274900349081E-3</c:v>
                </c:pt>
                <c:pt idx="9">
                  <c:v>8.089045312454992E-3</c:v>
                </c:pt>
                <c:pt idx="10">
                  <c:v>7.9468730880380544E-3</c:v>
                </c:pt>
                <c:pt idx="11">
                  <c:v>7.8078108167841127E-3</c:v>
                </c:pt>
                <c:pt idx="12">
                  <c:v>7.6718584986931642E-3</c:v>
                </c:pt>
                <c:pt idx="13">
                  <c:v>7.5390161337652098E-3</c:v>
                </c:pt>
                <c:pt idx="14">
                  <c:v>7.4092837220002357E-3</c:v>
                </c:pt>
                <c:pt idx="15">
                  <c:v>7.2826612633982626E-3</c:v>
                </c:pt>
                <c:pt idx="16">
                  <c:v>7.1591487579592767E-3</c:v>
                </c:pt>
                <c:pt idx="17">
                  <c:v>7.0387462056832779E-3</c:v>
                </c:pt>
                <c:pt idx="18">
                  <c:v>6.9214536065702811E-3</c:v>
                </c:pt>
                <c:pt idx="19">
                  <c:v>6.8072709606202706E-3</c:v>
                </c:pt>
                <c:pt idx="20">
                  <c:v>6.6961982678332473E-3</c:v>
                </c:pt>
                <c:pt idx="21">
                  <c:v>6.5882355282092251E-3</c:v>
                </c:pt>
                <c:pt idx="22">
                  <c:v>6.48338274174819E-3</c:v>
                </c:pt>
                <c:pt idx="23">
                  <c:v>6.3816399084501421E-3</c:v>
                </c:pt>
                <c:pt idx="24">
                  <c:v>6.2830070283150883E-3</c:v>
                </c:pt>
                <c:pt idx="25">
                  <c:v>6.1874841013430226E-3</c:v>
                </c:pt>
                <c:pt idx="26">
                  <c:v>6.095071127533957E-3</c:v>
                </c:pt>
                <c:pt idx="27">
                  <c:v>6.0057681068878786E-3</c:v>
                </c:pt>
                <c:pt idx="28">
                  <c:v>5.9195750394047874E-3</c:v>
                </c:pt>
                <c:pt idx="29">
                  <c:v>5.8364919250846903E-3</c:v>
                </c:pt>
                <c:pt idx="30">
                  <c:v>5.7565187639275874E-3</c:v>
                </c:pt>
                <c:pt idx="31">
                  <c:v>5.6796555559334716E-3</c:v>
                </c:pt>
                <c:pt idx="32">
                  <c:v>5.6059023011023508E-3</c:v>
                </c:pt>
                <c:pt idx="33">
                  <c:v>5.5352589994342154E-3</c:v>
                </c:pt>
                <c:pt idx="34">
                  <c:v>5.4677256509290759E-3</c:v>
                </c:pt>
                <c:pt idx="35">
                  <c:v>5.4033022555869297E-3</c:v>
                </c:pt>
                <c:pt idx="36">
                  <c:v>5.3419888134077706E-3</c:v>
                </c:pt>
                <c:pt idx="37">
                  <c:v>5.2837853243916056E-3</c:v>
                </c:pt>
                <c:pt idx="38">
                  <c:v>5.2286917885384348E-3</c:v>
                </c:pt>
                <c:pt idx="39">
                  <c:v>5.1767082058482511E-3</c:v>
                </c:pt>
                <c:pt idx="40">
                  <c:v>5.1278345763210546E-3</c:v>
                </c:pt>
                <c:pt idx="41">
                  <c:v>5.0820708999568531E-3</c:v>
                </c:pt>
                <c:pt idx="42">
                  <c:v>5.0394171767556449E-3</c:v>
                </c:pt>
                <c:pt idx="43">
                  <c:v>4.9998734067174307E-3</c:v>
                </c:pt>
                <c:pt idx="44">
                  <c:v>4.9634395898422038E-3</c:v>
                </c:pt>
                <c:pt idx="45">
                  <c:v>4.9301157261299709E-3</c:v>
                </c:pt>
                <c:pt idx="46">
                  <c:v>4.8999018155807253E-3</c:v>
                </c:pt>
                <c:pt idx="47">
                  <c:v>4.8727978581944737E-3</c:v>
                </c:pt>
                <c:pt idx="48">
                  <c:v>4.8488038539712171E-3</c:v>
                </c:pt>
                <c:pt idx="49">
                  <c:v>4.827919802910946E-3</c:v>
                </c:pt>
                <c:pt idx="50">
                  <c:v>4.8101457050136638E-3</c:v>
                </c:pt>
                <c:pt idx="51">
                  <c:v>4.7954815602793818E-3</c:v>
                </c:pt>
                <c:pt idx="52">
                  <c:v>4.7839273687080869E-3</c:v>
                </c:pt>
                <c:pt idx="53">
                  <c:v>4.7754831302997793E-3</c:v>
                </c:pt>
                <c:pt idx="54">
                  <c:v>4.7701488450544657E-3</c:v>
                </c:pt>
                <c:pt idx="55">
                  <c:v>4.7679245129721541E-3</c:v>
                </c:pt>
                <c:pt idx="56">
                  <c:v>4.768810134052821E-3</c:v>
                </c:pt>
                <c:pt idx="57">
                  <c:v>4.7728057082964837E-3</c:v>
                </c:pt>
                <c:pt idx="58">
                  <c:v>4.7799112357031319E-3</c:v>
                </c:pt>
                <c:pt idx="59">
                  <c:v>4.7901267162727829E-3</c:v>
                </c:pt>
                <c:pt idx="60">
                  <c:v>4.8034521500054141E-3</c:v>
                </c:pt>
                <c:pt idx="61">
                  <c:v>4.8198875369010446E-3</c:v>
                </c:pt>
                <c:pt idx="62">
                  <c:v>4.8394328769596571E-3</c:v>
                </c:pt>
                <c:pt idx="63">
                  <c:v>4.8620881701812758E-3</c:v>
                </c:pt>
                <c:pt idx="64">
                  <c:v>4.8878534165658766E-3</c:v>
                </c:pt>
                <c:pt idx="65">
                  <c:v>4.9167286161134627E-3</c:v>
                </c:pt>
                <c:pt idx="66">
                  <c:v>4.9487137688240517E-3</c:v>
                </c:pt>
                <c:pt idx="67">
                  <c:v>4.9838088746976261E-3</c:v>
                </c:pt>
                <c:pt idx="68">
                  <c:v>5.0220139337341964E-3</c:v>
                </c:pt>
                <c:pt idx="69">
                  <c:v>5.063328945933753E-3</c:v>
                </c:pt>
                <c:pt idx="70">
                  <c:v>5.1077539112963036E-3</c:v>
                </c:pt>
                <c:pt idx="71">
                  <c:v>5.1552888298218424E-3</c:v>
                </c:pt>
                <c:pt idx="72">
                  <c:v>5.2059337015103744E-3</c:v>
                </c:pt>
                <c:pt idx="73">
                  <c:v>5.2596885263619005E-3</c:v>
                </c:pt>
                <c:pt idx="74">
                  <c:v>5.3165533043764077E-3</c:v>
                </c:pt>
                <c:pt idx="75">
                  <c:v>5.3765280355539211E-3</c:v>
                </c:pt>
                <c:pt idx="76">
                  <c:v>5.4396127198944157E-3</c:v>
                </c:pt>
                <c:pt idx="77">
                  <c:v>5.5058073573979044E-3</c:v>
                </c:pt>
                <c:pt idx="78">
                  <c:v>5.5751119480643881E-3</c:v>
                </c:pt>
                <c:pt idx="79">
                  <c:v>5.6475264918938641E-3</c:v>
                </c:pt>
                <c:pt idx="80">
                  <c:v>5.7230509888863221E-3</c:v>
                </c:pt>
              </c:numCache>
            </c:numRef>
          </c:val>
          <c:extLst>
            <c:ext xmlns:c16="http://schemas.microsoft.com/office/drawing/2014/chart" uri="{C3380CC4-5D6E-409C-BE32-E72D297353CC}">
              <c16:uniqueId val="{000000B4-B0BD-44B6-BED5-7CDF3E877C37}"/>
            </c:ext>
          </c:extLst>
        </c:ser>
        <c:ser>
          <c:idx val="61"/>
          <c:order val="61"/>
          <c:tx>
            <c:strRef>
              <c:f>Interpolation!$S$64</c:f>
              <c:strCache>
                <c:ptCount val="1"/>
                <c:pt idx="0">
                  <c:v>36.1</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Interpolation!$T$64:$CV$64</c:f>
              <c:numCache>
                <c:formatCode>General</c:formatCode>
                <c:ptCount val="81"/>
                <c:pt idx="0">
                  <c:v>9.5192977325106471E-3</c:v>
                </c:pt>
                <c:pt idx="1">
                  <c:v>9.3490406990440582E-3</c:v>
                </c:pt>
                <c:pt idx="2">
                  <c:v>9.1818936187404634E-3</c:v>
                </c:pt>
                <c:pt idx="3">
                  <c:v>9.017856491599861E-3</c:v>
                </c:pt>
                <c:pt idx="4">
                  <c:v>8.8569293176222544E-3</c:v>
                </c:pt>
                <c:pt idx="5">
                  <c:v>8.6991120968076281E-3</c:v>
                </c:pt>
                <c:pt idx="6">
                  <c:v>8.5444048291559958E-3</c:v>
                </c:pt>
                <c:pt idx="7">
                  <c:v>8.3928075146673439E-3</c:v>
                </c:pt>
                <c:pt idx="8">
                  <c:v>8.2443201533416999E-3</c:v>
                </c:pt>
                <c:pt idx="9">
                  <c:v>8.09894274517905E-3</c:v>
                </c:pt>
                <c:pt idx="10">
                  <c:v>7.9566752901793804E-3</c:v>
                </c:pt>
                <c:pt idx="11">
                  <c:v>7.8175177883427031E-3</c:v>
                </c:pt>
                <c:pt idx="12">
                  <c:v>7.6814702396690226E-3</c:v>
                </c:pt>
                <c:pt idx="13">
                  <c:v>7.5485326441583345E-3</c:v>
                </c:pt>
                <c:pt idx="14">
                  <c:v>7.4187050018106274E-3</c:v>
                </c:pt>
                <c:pt idx="15">
                  <c:v>7.2919873126259215E-3</c:v>
                </c:pt>
                <c:pt idx="16">
                  <c:v>7.1683795766042026E-3</c:v>
                </c:pt>
                <c:pt idx="17">
                  <c:v>7.0478817937454702E-3</c:v>
                </c:pt>
                <c:pt idx="18">
                  <c:v>6.9304939640497396E-3</c:v>
                </c:pt>
                <c:pt idx="19">
                  <c:v>6.8162160875169962E-3</c:v>
                </c:pt>
                <c:pt idx="20">
                  <c:v>6.70504816414724E-3</c:v>
                </c:pt>
                <c:pt idx="21">
                  <c:v>6.596990193940484E-3</c:v>
                </c:pt>
                <c:pt idx="22">
                  <c:v>6.492042176896716E-3</c:v>
                </c:pt>
                <c:pt idx="23">
                  <c:v>6.3902041130159352E-3</c:v>
                </c:pt>
                <c:pt idx="24">
                  <c:v>6.2914760022981485E-3</c:v>
                </c:pt>
                <c:pt idx="25">
                  <c:v>6.195857844743349E-3</c:v>
                </c:pt>
                <c:pt idx="26">
                  <c:v>6.1033496403515505E-3</c:v>
                </c:pt>
                <c:pt idx="27">
                  <c:v>6.0139513891227384E-3</c:v>
                </c:pt>
                <c:pt idx="28">
                  <c:v>5.9276630910569143E-3</c:v>
                </c:pt>
                <c:pt idx="29">
                  <c:v>5.8444847461540834E-3</c:v>
                </c:pt>
                <c:pt idx="30">
                  <c:v>5.7644163544142476E-3</c:v>
                </c:pt>
                <c:pt idx="31">
                  <c:v>5.6874579158373989E-3</c:v>
                </c:pt>
                <c:pt idx="32">
                  <c:v>5.6136094304235443E-3</c:v>
                </c:pt>
                <c:pt idx="33">
                  <c:v>5.5428708981726769E-3</c:v>
                </c:pt>
                <c:pt idx="34">
                  <c:v>5.4752423190848028E-3</c:v>
                </c:pt>
                <c:pt idx="35">
                  <c:v>5.4107236931599237E-3</c:v>
                </c:pt>
                <c:pt idx="36">
                  <c:v>5.3493150203980317E-3</c:v>
                </c:pt>
                <c:pt idx="37">
                  <c:v>5.2910163007991338E-3</c:v>
                </c:pt>
                <c:pt idx="38">
                  <c:v>5.2358275343632292E-3</c:v>
                </c:pt>
                <c:pt idx="39">
                  <c:v>5.1837487210903126E-3</c:v>
                </c:pt>
                <c:pt idx="40">
                  <c:v>5.1347798609803832E-3</c:v>
                </c:pt>
                <c:pt idx="41">
                  <c:v>5.088920954033448E-3</c:v>
                </c:pt>
                <c:pt idx="42">
                  <c:v>5.0461720002495068E-3</c:v>
                </c:pt>
                <c:pt idx="43">
                  <c:v>5.0065329996285589E-3</c:v>
                </c:pt>
                <c:pt idx="44">
                  <c:v>4.9700039521705991E-3</c:v>
                </c:pt>
                <c:pt idx="45">
                  <c:v>4.9365848578756324E-3</c:v>
                </c:pt>
                <c:pt idx="46">
                  <c:v>4.9062757167436539E-3</c:v>
                </c:pt>
                <c:pt idx="47">
                  <c:v>4.8790765287746694E-3</c:v>
                </c:pt>
                <c:pt idx="48">
                  <c:v>4.8549872939686791E-3</c:v>
                </c:pt>
                <c:pt idx="49">
                  <c:v>4.834008012325676E-3</c:v>
                </c:pt>
                <c:pt idx="50">
                  <c:v>4.81613868384566E-3</c:v>
                </c:pt>
                <c:pt idx="51">
                  <c:v>4.8013793085286451E-3</c:v>
                </c:pt>
                <c:pt idx="52">
                  <c:v>4.7897298863746164E-3</c:v>
                </c:pt>
                <c:pt idx="53">
                  <c:v>4.781190417383575E-3</c:v>
                </c:pt>
                <c:pt idx="54">
                  <c:v>4.7757609015555286E-3</c:v>
                </c:pt>
                <c:pt idx="55">
                  <c:v>4.7734413388904832E-3</c:v>
                </c:pt>
                <c:pt idx="56">
                  <c:v>4.774231729388418E-3</c:v>
                </c:pt>
                <c:pt idx="57">
                  <c:v>4.778132073049347E-3</c:v>
                </c:pt>
                <c:pt idx="58">
                  <c:v>4.7851423698732631E-3</c:v>
                </c:pt>
                <c:pt idx="59">
                  <c:v>4.7952626198601803E-3</c:v>
                </c:pt>
                <c:pt idx="60">
                  <c:v>4.8084928230100778E-3</c:v>
                </c:pt>
                <c:pt idx="61">
                  <c:v>4.8248329793229754E-3</c:v>
                </c:pt>
                <c:pt idx="62">
                  <c:v>4.8442830887988541E-3</c:v>
                </c:pt>
                <c:pt idx="63">
                  <c:v>4.86684315143774E-3</c:v>
                </c:pt>
                <c:pt idx="64">
                  <c:v>4.892513167239607E-3</c:v>
                </c:pt>
                <c:pt idx="65">
                  <c:v>4.9212931362044611E-3</c:v>
                </c:pt>
                <c:pt idx="66">
                  <c:v>4.9531830583323163E-3</c:v>
                </c:pt>
                <c:pt idx="67">
                  <c:v>4.9881829336231578E-3</c:v>
                </c:pt>
                <c:pt idx="68">
                  <c:v>5.0262927620769943E-3</c:v>
                </c:pt>
                <c:pt idx="69">
                  <c:v>5.0675125436938171E-3</c:v>
                </c:pt>
                <c:pt idx="70">
                  <c:v>5.1118422784736349E-3</c:v>
                </c:pt>
                <c:pt idx="71">
                  <c:v>5.1592819664164399E-3</c:v>
                </c:pt>
                <c:pt idx="72">
                  <c:v>5.2098316075222389E-3</c:v>
                </c:pt>
                <c:pt idx="73">
                  <c:v>5.2634912017910322E-3</c:v>
                </c:pt>
                <c:pt idx="74">
                  <c:v>5.3202607492228056E-3</c:v>
                </c:pt>
                <c:pt idx="75">
                  <c:v>5.380140249817587E-3</c:v>
                </c:pt>
                <c:pt idx="76">
                  <c:v>5.4431297035753478E-3</c:v>
                </c:pt>
                <c:pt idx="77">
                  <c:v>5.5092291104961036E-3</c:v>
                </c:pt>
                <c:pt idx="78">
                  <c:v>5.5784384705798527E-3</c:v>
                </c:pt>
                <c:pt idx="79">
                  <c:v>5.6507577838265967E-3</c:v>
                </c:pt>
                <c:pt idx="80">
                  <c:v>5.7261870502363209E-3</c:v>
                </c:pt>
              </c:numCache>
            </c:numRef>
          </c:val>
          <c:extLst>
            <c:ext xmlns:c16="http://schemas.microsoft.com/office/drawing/2014/chart" uri="{C3380CC4-5D6E-409C-BE32-E72D297353CC}">
              <c16:uniqueId val="{000000B5-B0BD-44B6-BED5-7CDF3E877C37}"/>
            </c:ext>
          </c:extLst>
        </c:ser>
        <c:ser>
          <c:idx val="62"/>
          <c:order val="62"/>
          <c:tx>
            <c:strRef>
              <c:f>Interpolation!$S$65</c:f>
              <c:strCache>
                <c:ptCount val="1"/>
                <c:pt idx="0">
                  <c:v>36.2</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Interpolation!$T$65:$CV$65</c:f>
              <c:numCache>
                <c:formatCode>General</c:formatCode>
                <c:ptCount val="81"/>
                <c:pt idx="0">
                  <c:v>9.5309526942061289E-3</c:v>
                </c:pt>
                <c:pt idx="1">
                  <c:v>9.3606004301568062E-3</c:v>
                </c:pt>
                <c:pt idx="2">
                  <c:v>9.1933581192704776E-3</c:v>
                </c:pt>
                <c:pt idx="3">
                  <c:v>9.0292257615471449E-3</c:v>
                </c:pt>
                <c:pt idx="4">
                  <c:v>8.8682033569868046E-3</c:v>
                </c:pt>
                <c:pt idx="5">
                  <c:v>8.7102909055894445E-3</c:v>
                </c:pt>
                <c:pt idx="6">
                  <c:v>8.5554884073550785E-3</c:v>
                </c:pt>
                <c:pt idx="7">
                  <c:v>8.4037958622836927E-3</c:v>
                </c:pt>
                <c:pt idx="8">
                  <c:v>8.2552132703753167E-3</c:v>
                </c:pt>
                <c:pt idx="9">
                  <c:v>8.1097406316299331E-3</c:v>
                </c:pt>
                <c:pt idx="10">
                  <c:v>7.9673779460475297E-3</c:v>
                </c:pt>
                <c:pt idx="11">
                  <c:v>7.8281252136281204E-3</c:v>
                </c:pt>
                <c:pt idx="12">
                  <c:v>7.6919824343717053E-3</c:v>
                </c:pt>
                <c:pt idx="13">
                  <c:v>7.5589496082782851E-3</c:v>
                </c:pt>
                <c:pt idx="14">
                  <c:v>7.4290267353478443E-3</c:v>
                </c:pt>
                <c:pt idx="15">
                  <c:v>7.3022138155804054E-3</c:v>
                </c:pt>
                <c:pt idx="16">
                  <c:v>7.1785108489759528E-3</c:v>
                </c:pt>
                <c:pt idx="17">
                  <c:v>7.0579178355344874E-3</c:v>
                </c:pt>
                <c:pt idx="18">
                  <c:v>6.940434775256024E-3</c:v>
                </c:pt>
                <c:pt idx="19">
                  <c:v>6.8260616681405468E-3</c:v>
                </c:pt>
                <c:pt idx="20">
                  <c:v>6.7147985141880577E-3</c:v>
                </c:pt>
                <c:pt idx="21">
                  <c:v>6.6066453133985688E-3</c:v>
                </c:pt>
                <c:pt idx="22">
                  <c:v>6.501602065772067E-3</c:v>
                </c:pt>
                <c:pt idx="23">
                  <c:v>6.3996687713085533E-3</c:v>
                </c:pt>
                <c:pt idx="24">
                  <c:v>6.3008454300080329E-3</c:v>
                </c:pt>
                <c:pt idx="25">
                  <c:v>6.2051320418705005E-3</c:v>
                </c:pt>
                <c:pt idx="26">
                  <c:v>6.1125286068959683E-3</c:v>
                </c:pt>
                <c:pt idx="27">
                  <c:v>6.0230351250844232E-3</c:v>
                </c:pt>
                <c:pt idx="28">
                  <c:v>5.9366515964358662E-3</c:v>
                </c:pt>
                <c:pt idx="29">
                  <c:v>5.8533780209503025E-3</c:v>
                </c:pt>
                <c:pt idx="30">
                  <c:v>5.7732143986277337E-3</c:v>
                </c:pt>
                <c:pt idx="31">
                  <c:v>5.6961607294681513E-3</c:v>
                </c:pt>
                <c:pt idx="32">
                  <c:v>5.6222170134715629E-3</c:v>
                </c:pt>
                <c:pt idx="33">
                  <c:v>5.5513832506379627E-3</c:v>
                </c:pt>
                <c:pt idx="34">
                  <c:v>5.4836594409673556E-3</c:v>
                </c:pt>
                <c:pt idx="35">
                  <c:v>5.4190455844597436E-3</c:v>
                </c:pt>
                <c:pt idx="36">
                  <c:v>5.3575416811151178E-3</c:v>
                </c:pt>
                <c:pt idx="37">
                  <c:v>5.2991477309334862E-3</c:v>
                </c:pt>
                <c:pt idx="38">
                  <c:v>5.2438637339148495E-3</c:v>
                </c:pt>
                <c:pt idx="39">
                  <c:v>5.1916896900591992E-3</c:v>
                </c:pt>
                <c:pt idx="40">
                  <c:v>5.1426255993665369E-3</c:v>
                </c:pt>
                <c:pt idx="41">
                  <c:v>5.0966714618368679E-3</c:v>
                </c:pt>
                <c:pt idx="42">
                  <c:v>5.053827277470193E-3</c:v>
                </c:pt>
                <c:pt idx="43">
                  <c:v>5.014093046266513E-3</c:v>
                </c:pt>
                <c:pt idx="44">
                  <c:v>4.9774687682258194E-3</c:v>
                </c:pt>
                <c:pt idx="45">
                  <c:v>4.9439544433481199E-3</c:v>
                </c:pt>
                <c:pt idx="46">
                  <c:v>4.9135500716334084E-3</c:v>
                </c:pt>
                <c:pt idx="47">
                  <c:v>4.8862556530816902E-3</c:v>
                </c:pt>
                <c:pt idx="48">
                  <c:v>4.8620711876929661E-3</c:v>
                </c:pt>
                <c:pt idx="49">
                  <c:v>4.8409966754672301E-3</c:v>
                </c:pt>
                <c:pt idx="50">
                  <c:v>4.8230321164044812E-3</c:v>
                </c:pt>
                <c:pt idx="51">
                  <c:v>4.8081775105047325E-3</c:v>
                </c:pt>
                <c:pt idx="52">
                  <c:v>4.796432857767971E-3</c:v>
                </c:pt>
                <c:pt idx="53">
                  <c:v>4.7877981581941967E-3</c:v>
                </c:pt>
                <c:pt idx="54">
                  <c:v>4.7822734117834173E-3</c:v>
                </c:pt>
                <c:pt idx="55">
                  <c:v>4.7798586185356391E-3</c:v>
                </c:pt>
                <c:pt idx="56">
                  <c:v>4.7805537784508401E-3</c:v>
                </c:pt>
                <c:pt idx="57">
                  <c:v>4.7843588915290353E-3</c:v>
                </c:pt>
                <c:pt idx="58">
                  <c:v>4.7912739577702177E-3</c:v>
                </c:pt>
                <c:pt idx="59">
                  <c:v>4.801298977174402E-3</c:v>
                </c:pt>
                <c:pt idx="60">
                  <c:v>4.8144339497415665E-3</c:v>
                </c:pt>
                <c:pt idx="61">
                  <c:v>4.8306788754717313E-3</c:v>
                </c:pt>
                <c:pt idx="62">
                  <c:v>4.8500337543648762E-3</c:v>
                </c:pt>
                <c:pt idx="63">
                  <c:v>4.8724985864210292E-3</c:v>
                </c:pt>
                <c:pt idx="64">
                  <c:v>4.8980733716401633E-3</c:v>
                </c:pt>
                <c:pt idx="65">
                  <c:v>4.9267581100222837E-3</c:v>
                </c:pt>
                <c:pt idx="66">
                  <c:v>4.958552801567406E-3</c:v>
                </c:pt>
                <c:pt idx="67">
                  <c:v>4.9934574462755146E-3</c:v>
                </c:pt>
                <c:pt idx="68">
                  <c:v>5.0314720441466173E-3</c:v>
                </c:pt>
                <c:pt idx="69">
                  <c:v>5.0725965951807072E-3</c:v>
                </c:pt>
                <c:pt idx="70">
                  <c:v>5.1168310993777921E-3</c:v>
                </c:pt>
                <c:pt idx="71">
                  <c:v>5.1641755567378642E-3</c:v>
                </c:pt>
                <c:pt idx="72">
                  <c:v>5.2146299672609295E-3</c:v>
                </c:pt>
                <c:pt idx="73">
                  <c:v>5.2681943309469889E-3</c:v>
                </c:pt>
                <c:pt idx="74">
                  <c:v>5.3248686477960295E-3</c:v>
                </c:pt>
                <c:pt idx="75">
                  <c:v>5.3846529178080771E-3</c:v>
                </c:pt>
                <c:pt idx="76">
                  <c:v>5.4475471409831059E-3</c:v>
                </c:pt>
                <c:pt idx="77">
                  <c:v>5.5135513173211279E-3</c:v>
                </c:pt>
                <c:pt idx="78">
                  <c:v>5.5826654468221441E-3</c:v>
                </c:pt>
                <c:pt idx="79">
                  <c:v>5.6548895294861543E-3</c:v>
                </c:pt>
                <c:pt idx="80">
                  <c:v>5.7302235653131457E-3</c:v>
                </c:pt>
              </c:numCache>
            </c:numRef>
          </c:val>
          <c:extLst>
            <c:ext xmlns:c16="http://schemas.microsoft.com/office/drawing/2014/chart" uri="{C3380CC4-5D6E-409C-BE32-E72D297353CC}">
              <c16:uniqueId val="{000000B6-B0BD-44B6-BED5-7CDF3E877C37}"/>
            </c:ext>
          </c:extLst>
        </c:ser>
        <c:ser>
          <c:idx val="63"/>
          <c:order val="63"/>
          <c:tx>
            <c:strRef>
              <c:f>Interpolation!$S$66</c:f>
              <c:strCache>
                <c:ptCount val="1"/>
                <c:pt idx="0">
                  <c:v>36.3</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Interpolation!$T$66:$CV$66</c:f>
              <c:numCache>
                <c:formatCode>General</c:formatCode>
                <c:ptCount val="81"/>
                <c:pt idx="0">
                  <c:v>9.5435081096284288E-3</c:v>
                </c:pt>
                <c:pt idx="1">
                  <c:v>9.373060614996374E-3</c:v>
                </c:pt>
                <c:pt idx="2">
                  <c:v>9.2057230735273117E-3</c:v>
                </c:pt>
                <c:pt idx="3">
                  <c:v>9.0414954852212452E-3</c:v>
                </c:pt>
                <c:pt idx="4">
                  <c:v>8.8803778500781711E-3</c:v>
                </c:pt>
                <c:pt idx="5">
                  <c:v>8.722370168098079E-3</c:v>
                </c:pt>
                <c:pt idx="6">
                  <c:v>8.5674724392809792E-3</c:v>
                </c:pt>
                <c:pt idx="7">
                  <c:v>8.4156846636268615E-3</c:v>
                </c:pt>
                <c:pt idx="8">
                  <c:v>8.2670068411357499E-3</c:v>
                </c:pt>
                <c:pt idx="9">
                  <c:v>8.1214389718076343E-3</c:v>
                </c:pt>
                <c:pt idx="10">
                  <c:v>7.9789810556424971E-3</c:v>
                </c:pt>
                <c:pt idx="11">
                  <c:v>7.8396330926403558E-3</c:v>
                </c:pt>
                <c:pt idx="12">
                  <c:v>7.7033950828012069E-3</c:v>
                </c:pt>
                <c:pt idx="13">
                  <c:v>7.5702670261250538E-3</c:v>
                </c:pt>
                <c:pt idx="14">
                  <c:v>7.4402489226118801E-3</c:v>
                </c:pt>
                <c:pt idx="15">
                  <c:v>7.3133407722617075E-3</c:v>
                </c:pt>
                <c:pt idx="16">
                  <c:v>7.189542575074522E-3</c:v>
                </c:pt>
                <c:pt idx="17">
                  <c:v>7.0688543310503237E-3</c:v>
                </c:pt>
                <c:pt idx="18">
                  <c:v>6.9512760401891265E-3</c:v>
                </c:pt>
                <c:pt idx="19">
                  <c:v>6.8368077024909164E-3</c:v>
                </c:pt>
                <c:pt idx="20">
                  <c:v>6.7254493179556936E-3</c:v>
                </c:pt>
                <c:pt idx="21">
                  <c:v>6.6172008865834717E-3</c:v>
                </c:pt>
                <c:pt idx="22">
                  <c:v>6.5120624083742371E-3</c:v>
                </c:pt>
                <c:pt idx="23">
                  <c:v>6.4100338833279896E-3</c:v>
                </c:pt>
                <c:pt idx="24">
                  <c:v>6.3111153114447363E-3</c:v>
                </c:pt>
                <c:pt idx="25">
                  <c:v>6.2153066927244701E-3</c:v>
                </c:pt>
                <c:pt idx="26">
                  <c:v>6.122608027167205E-3</c:v>
                </c:pt>
                <c:pt idx="27">
                  <c:v>6.033019314772927E-3</c:v>
                </c:pt>
                <c:pt idx="28">
                  <c:v>5.9465405555416363E-3</c:v>
                </c:pt>
                <c:pt idx="29">
                  <c:v>5.8631717494733396E-3</c:v>
                </c:pt>
                <c:pt idx="30">
                  <c:v>5.7829128965680371E-3</c:v>
                </c:pt>
                <c:pt idx="31">
                  <c:v>5.7057639968257218E-3</c:v>
                </c:pt>
                <c:pt idx="32">
                  <c:v>5.6317250502464005E-3</c:v>
                </c:pt>
                <c:pt idx="33">
                  <c:v>5.5607960568300665E-3</c:v>
                </c:pt>
                <c:pt idx="34">
                  <c:v>5.4929770165767266E-3</c:v>
                </c:pt>
                <c:pt idx="35">
                  <c:v>5.4282679294863807E-3</c:v>
                </c:pt>
                <c:pt idx="36">
                  <c:v>5.3666687955590221E-3</c:v>
                </c:pt>
                <c:pt idx="37">
                  <c:v>5.3081796147946576E-3</c:v>
                </c:pt>
                <c:pt idx="38">
                  <c:v>5.2528003871932872E-3</c:v>
                </c:pt>
                <c:pt idx="39">
                  <c:v>5.2005311127549039E-3</c:v>
                </c:pt>
                <c:pt idx="40">
                  <c:v>5.1513717914795079E-3</c:v>
                </c:pt>
                <c:pt idx="41">
                  <c:v>5.1053224233671059E-3</c:v>
                </c:pt>
                <c:pt idx="42">
                  <c:v>5.062383008417699E-3</c:v>
                </c:pt>
                <c:pt idx="43">
                  <c:v>5.0225535466312844E-3</c:v>
                </c:pt>
                <c:pt idx="44">
                  <c:v>4.9858340380078579E-3</c:v>
                </c:pt>
                <c:pt idx="45">
                  <c:v>4.9522244825474255E-3</c:v>
                </c:pt>
                <c:pt idx="46">
                  <c:v>4.9217248802499803E-3</c:v>
                </c:pt>
                <c:pt idx="47">
                  <c:v>4.8943352311155292E-3</c:v>
                </c:pt>
                <c:pt idx="48">
                  <c:v>4.870055535144073E-3</c:v>
                </c:pt>
                <c:pt idx="49">
                  <c:v>4.8488857923356023E-3</c:v>
                </c:pt>
                <c:pt idx="50">
                  <c:v>4.8308260026901206E-3</c:v>
                </c:pt>
                <c:pt idx="51">
                  <c:v>4.8158761662076381E-3</c:v>
                </c:pt>
                <c:pt idx="52">
                  <c:v>4.8040362828881446E-3</c:v>
                </c:pt>
                <c:pt idx="53">
                  <c:v>4.7953063527316365E-3</c:v>
                </c:pt>
                <c:pt idx="54">
                  <c:v>4.7896863757381242E-3</c:v>
                </c:pt>
                <c:pt idx="55">
                  <c:v>4.7871763519076122E-3</c:v>
                </c:pt>
                <c:pt idx="56">
                  <c:v>4.7877762812400804E-3</c:v>
                </c:pt>
                <c:pt idx="57">
                  <c:v>4.7914861637355418E-3</c:v>
                </c:pt>
                <c:pt idx="58">
                  <c:v>4.7983059993939921E-3</c:v>
                </c:pt>
                <c:pt idx="59">
                  <c:v>4.8082357882154427E-3</c:v>
                </c:pt>
                <c:pt idx="60">
                  <c:v>4.8212755301998735E-3</c:v>
                </c:pt>
                <c:pt idx="61">
                  <c:v>4.8374252253473053E-3</c:v>
                </c:pt>
                <c:pt idx="62">
                  <c:v>4.8566848736577174E-3</c:v>
                </c:pt>
                <c:pt idx="63">
                  <c:v>4.8790544751311374E-3</c:v>
                </c:pt>
                <c:pt idx="64">
                  <c:v>4.9045340297675377E-3</c:v>
                </c:pt>
                <c:pt idx="65">
                  <c:v>4.9331235375669243E-3</c:v>
                </c:pt>
                <c:pt idx="66">
                  <c:v>4.9648229985293137E-3</c:v>
                </c:pt>
                <c:pt idx="67">
                  <c:v>4.9996324126546894E-3</c:v>
                </c:pt>
                <c:pt idx="68">
                  <c:v>5.0375517799430593E-3</c:v>
                </c:pt>
                <c:pt idx="69">
                  <c:v>5.0785811003944163E-3</c:v>
                </c:pt>
                <c:pt idx="70">
                  <c:v>5.1227203740087674E-3</c:v>
                </c:pt>
                <c:pt idx="71">
                  <c:v>5.1699696007861057E-3</c:v>
                </c:pt>
                <c:pt idx="72">
                  <c:v>5.2203287807264381E-3</c:v>
                </c:pt>
                <c:pt idx="73">
                  <c:v>5.2737979138297655E-3</c:v>
                </c:pt>
                <c:pt idx="74">
                  <c:v>5.3303770000960714E-3</c:v>
                </c:pt>
                <c:pt idx="75">
                  <c:v>5.3900660395253862E-3</c:v>
                </c:pt>
                <c:pt idx="76">
                  <c:v>5.4528650321176812E-3</c:v>
                </c:pt>
                <c:pt idx="77">
                  <c:v>5.5187739778729704E-3</c:v>
                </c:pt>
                <c:pt idx="78">
                  <c:v>5.5877928767912536E-3</c:v>
                </c:pt>
                <c:pt idx="79">
                  <c:v>5.659921728872531E-3</c:v>
                </c:pt>
                <c:pt idx="80">
                  <c:v>5.7351605341167886E-3</c:v>
                </c:pt>
              </c:numCache>
            </c:numRef>
          </c:val>
          <c:extLst>
            <c:ext xmlns:c16="http://schemas.microsoft.com/office/drawing/2014/chart" uri="{C3380CC4-5D6E-409C-BE32-E72D297353CC}">
              <c16:uniqueId val="{000000B7-B0BD-44B6-BED5-7CDF3E877C37}"/>
            </c:ext>
          </c:extLst>
        </c:ser>
        <c:ser>
          <c:idx val="64"/>
          <c:order val="64"/>
          <c:tx>
            <c:strRef>
              <c:f>Interpolation!$S$67</c:f>
              <c:strCache>
                <c:ptCount val="1"/>
                <c:pt idx="0">
                  <c:v>36.4</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Interpolation!$T$67:$CV$67</c:f>
              <c:numCache>
                <c:formatCode>General</c:formatCode>
                <c:ptCount val="81"/>
                <c:pt idx="0">
                  <c:v>9.5569639787775468E-3</c:v>
                </c:pt>
                <c:pt idx="1">
                  <c:v>9.3864212535627583E-3</c:v>
                </c:pt>
                <c:pt idx="2">
                  <c:v>9.2189884815109639E-3</c:v>
                </c:pt>
                <c:pt idx="3">
                  <c:v>9.0546656626221637E-3</c:v>
                </c:pt>
                <c:pt idx="4">
                  <c:v>8.8934527968963575E-3</c:v>
                </c:pt>
                <c:pt idx="5">
                  <c:v>8.7353498843335299E-3</c:v>
                </c:pt>
                <c:pt idx="6">
                  <c:v>8.5803569249336981E-3</c:v>
                </c:pt>
                <c:pt idx="7">
                  <c:v>8.4284739186968466E-3</c:v>
                </c:pt>
                <c:pt idx="8">
                  <c:v>8.279700865623003E-3</c:v>
                </c:pt>
                <c:pt idx="9">
                  <c:v>8.1340377657121536E-3</c:v>
                </c:pt>
                <c:pt idx="10">
                  <c:v>7.9914846189642827E-3</c:v>
                </c:pt>
                <c:pt idx="11">
                  <c:v>7.8520414253794076E-3</c:v>
                </c:pt>
                <c:pt idx="12">
                  <c:v>7.7157081849575267E-3</c:v>
                </c:pt>
                <c:pt idx="13">
                  <c:v>7.5824848976986398E-3</c:v>
                </c:pt>
                <c:pt idx="14">
                  <c:v>7.4523715636027332E-3</c:v>
                </c:pt>
                <c:pt idx="15">
                  <c:v>7.3253681826698268E-3</c:v>
                </c:pt>
                <c:pt idx="16">
                  <c:v>7.2014747548999085E-3</c:v>
                </c:pt>
                <c:pt idx="17">
                  <c:v>7.0806912802929773E-3</c:v>
                </c:pt>
                <c:pt idx="18">
                  <c:v>6.9630177588490463E-3</c:v>
                </c:pt>
                <c:pt idx="19">
                  <c:v>6.8484541905681033E-3</c:v>
                </c:pt>
                <c:pt idx="20">
                  <c:v>6.7370005754501475E-3</c:v>
                </c:pt>
                <c:pt idx="21">
                  <c:v>6.6286569134951928E-3</c:v>
                </c:pt>
                <c:pt idx="22">
                  <c:v>6.5234232047032244E-3</c:v>
                </c:pt>
                <c:pt idx="23">
                  <c:v>6.4212994490742432E-3</c:v>
                </c:pt>
                <c:pt idx="24">
                  <c:v>6.3222856466082569E-3</c:v>
                </c:pt>
                <c:pt idx="25">
                  <c:v>6.2263817973052579E-3</c:v>
                </c:pt>
                <c:pt idx="26">
                  <c:v>6.1335879011652598E-3</c:v>
                </c:pt>
                <c:pt idx="27">
                  <c:v>6.043903958188249E-3</c:v>
                </c:pt>
                <c:pt idx="28">
                  <c:v>5.9573299683742245E-3</c:v>
                </c:pt>
                <c:pt idx="29">
                  <c:v>5.8738659317231941E-3</c:v>
                </c:pt>
                <c:pt idx="30">
                  <c:v>5.7935118482351586E-3</c:v>
                </c:pt>
                <c:pt idx="31">
                  <c:v>5.7162677179101104E-3</c:v>
                </c:pt>
                <c:pt idx="32">
                  <c:v>5.6421335407480563E-3</c:v>
                </c:pt>
                <c:pt idx="33">
                  <c:v>5.5711093167489885E-3</c:v>
                </c:pt>
                <c:pt idx="34">
                  <c:v>5.5031950459129156E-3</c:v>
                </c:pt>
                <c:pt idx="35">
                  <c:v>5.438390728239836E-3</c:v>
                </c:pt>
                <c:pt idx="36">
                  <c:v>5.3766963637297445E-3</c:v>
                </c:pt>
                <c:pt idx="37">
                  <c:v>5.3181119523826471E-3</c:v>
                </c:pt>
                <c:pt idx="38">
                  <c:v>5.2626374941985438E-3</c:v>
                </c:pt>
                <c:pt idx="39">
                  <c:v>5.2102729891774268E-3</c:v>
                </c:pt>
                <c:pt idx="40">
                  <c:v>5.1610184373192978E-3</c:v>
                </c:pt>
                <c:pt idx="41">
                  <c:v>5.1148738386241621E-3</c:v>
                </c:pt>
                <c:pt idx="42">
                  <c:v>5.0718391930920214E-3</c:v>
                </c:pt>
                <c:pt idx="43">
                  <c:v>5.0319145007228748E-3</c:v>
                </c:pt>
                <c:pt idx="44">
                  <c:v>4.9950997615167145E-3</c:v>
                </c:pt>
                <c:pt idx="45">
                  <c:v>4.9613949754735492E-3</c:v>
                </c:pt>
                <c:pt idx="46">
                  <c:v>4.9308001425933702E-3</c:v>
                </c:pt>
                <c:pt idx="47">
                  <c:v>4.9033152628761862E-3</c:v>
                </c:pt>
                <c:pt idx="48">
                  <c:v>4.8789403363219963E-3</c:v>
                </c:pt>
                <c:pt idx="49">
                  <c:v>4.8576753629307936E-3</c:v>
                </c:pt>
                <c:pt idx="50">
                  <c:v>4.8395203427025781E-3</c:v>
                </c:pt>
                <c:pt idx="51">
                  <c:v>4.8244752756373627E-3</c:v>
                </c:pt>
                <c:pt idx="52">
                  <c:v>4.8125401617351354E-3</c:v>
                </c:pt>
                <c:pt idx="53">
                  <c:v>4.8037150009958944E-3</c:v>
                </c:pt>
                <c:pt idx="54">
                  <c:v>4.7979997934196484E-3</c:v>
                </c:pt>
                <c:pt idx="55">
                  <c:v>4.7953945390064034E-3</c:v>
                </c:pt>
                <c:pt idx="56">
                  <c:v>4.7958992377561379E-3</c:v>
                </c:pt>
                <c:pt idx="57">
                  <c:v>4.7995138896688664E-3</c:v>
                </c:pt>
                <c:pt idx="58">
                  <c:v>4.806238494744583E-3</c:v>
                </c:pt>
                <c:pt idx="59">
                  <c:v>4.8160730529833006E-3</c:v>
                </c:pt>
                <c:pt idx="60">
                  <c:v>4.8290175643849985E-3</c:v>
                </c:pt>
                <c:pt idx="61">
                  <c:v>4.8450720289496974E-3</c:v>
                </c:pt>
                <c:pt idx="62">
                  <c:v>4.8642364466773766E-3</c:v>
                </c:pt>
                <c:pt idx="63">
                  <c:v>4.8865108175680629E-3</c:v>
                </c:pt>
                <c:pt idx="64">
                  <c:v>4.9118951416217303E-3</c:v>
                </c:pt>
                <c:pt idx="65">
                  <c:v>4.940389418838384E-3</c:v>
                </c:pt>
                <c:pt idx="66">
                  <c:v>4.9719936492180396E-3</c:v>
                </c:pt>
                <c:pt idx="67">
                  <c:v>5.0067078327606816E-3</c:v>
                </c:pt>
                <c:pt idx="68">
                  <c:v>5.0445319694663185E-3</c:v>
                </c:pt>
                <c:pt idx="69">
                  <c:v>5.0854660593349418E-3</c:v>
                </c:pt>
                <c:pt idx="70">
                  <c:v>5.12951010236656E-3</c:v>
                </c:pt>
                <c:pt idx="71">
                  <c:v>5.1766640985611654E-3</c:v>
                </c:pt>
                <c:pt idx="72">
                  <c:v>5.2269280479187649E-3</c:v>
                </c:pt>
                <c:pt idx="73">
                  <c:v>5.2803019504393586E-3</c:v>
                </c:pt>
                <c:pt idx="74">
                  <c:v>5.3367858061229324E-3</c:v>
                </c:pt>
                <c:pt idx="75">
                  <c:v>5.3963796149695126E-3</c:v>
                </c:pt>
                <c:pt idx="76">
                  <c:v>5.4590833769790747E-3</c:v>
                </c:pt>
                <c:pt idx="77">
                  <c:v>5.5248970921516309E-3</c:v>
                </c:pt>
                <c:pt idx="78">
                  <c:v>5.5938207604871813E-3</c:v>
                </c:pt>
                <c:pt idx="79">
                  <c:v>5.6658543819857257E-3</c:v>
                </c:pt>
                <c:pt idx="80">
                  <c:v>5.7409979566472496E-3</c:v>
                </c:pt>
              </c:numCache>
            </c:numRef>
          </c:val>
          <c:extLst>
            <c:ext xmlns:c16="http://schemas.microsoft.com/office/drawing/2014/chart" uri="{C3380CC4-5D6E-409C-BE32-E72D297353CC}">
              <c16:uniqueId val="{000000B8-B0BD-44B6-BED5-7CDF3E877C37}"/>
            </c:ext>
          </c:extLst>
        </c:ser>
        <c:ser>
          <c:idx val="65"/>
          <c:order val="65"/>
          <c:tx>
            <c:strRef>
              <c:f>Interpolation!$S$68</c:f>
              <c:strCache>
                <c:ptCount val="1"/>
                <c:pt idx="0">
                  <c:v>36.5</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Interpolation!$T$68:$CV$68</c:f>
              <c:numCache>
                <c:formatCode>General</c:formatCode>
                <c:ptCount val="81"/>
                <c:pt idx="0">
                  <c:v>9.571320301653476E-3</c:v>
                </c:pt>
                <c:pt idx="1">
                  <c:v>9.4006823458559555E-3</c:v>
                </c:pt>
                <c:pt idx="2">
                  <c:v>9.2331543432214273E-3</c:v>
                </c:pt>
                <c:pt idx="3">
                  <c:v>9.0687362937498933E-3</c:v>
                </c:pt>
                <c:pt idx="4">
                  <c:v>8.9074281974413534E-3</c:v>
                </c:pt>
                <c:pt idx="5">
                  <c:v>8.7492300542957938E-3</c:v>
                </c:pt>
                <c:pt idx="6">
                  <c:v>8.5941418643132282E-3</c:v>
                </c:pt>
                <c:pt idx="7">
                  <c:v>8.4421636274936429E-3</c:v>
                </c:pt>
                <c:pt idx="8">
                  <c:v>8.2932953438370673E-3</c:v>
                </c:pt>
                <c:pt idx="9">
                  <c:v>8.1475370133434841E-3</c:v>
                </c:pt>
                <c:pt idx="10">
                  <c:v>8.0048886360128812E-3</c:v>
                </c:pt>
                <c:pt idx="11">
                  <c:v>7.8653502118452723E-3</c:v>
                </c:pt>
                <c:pt idx="12">
                  <c:v>7.7289217408406576E-3</c:v>
                </c:pt>
                <c:pt idx="13">
                  <c:v>7.595603222999037E-3</c:v>
                </c:pt>
                <c:pt idx="14">
                  <c:v>7.4653946583203975E-3</c:v>
                </c:pt>
                <c:pt idx="15">
                  <c:v>7.3382960468047582E-3</c:v>
                </c:pt>
                <c:pt idx="16">
                  <c:v>7.214307388452107E-3</c:v>
                </c:pt>
                <c:pt idx="17">
                  <c:v>7.093428683262442E-3</c:v>
                </c:pt>
                <c:pt idx="18">
                  <c:v>6.9756599312357781E-3</c:v>
                </c:pt>
                <c:pt idx="19">
                  <c:v>6.8610011323721014E-3</c:v>
                </c:pt>
                <c:pt idx="20">
                  <c:v>6.7494522866714127E-3</c:v>
                </c:pt>
                <c:pt idx="21">
                  <c:v>6.6410133941337242E-3</c:v>
                </c:pt>
                <c:pt idx="22">
                  <c:v>6.5356844547590229E-3</c:v>
                </c:pt>
                <c:pt idx="23">
                  <c:v>6.4334654685473088E-3</c:v>
                </c:pt>
                <c:pt idx="24">
                  <c:v>6.3343564354985896E-3</c:v>
                </c:pt>
                <c:pt idx="25">
                  <c:v>6.2383573556128568E-3</c:v>
                </c:pt>
                <c:pt idx="26">
                  <c:v>6.145468228890125E-3</c:v>
                </c:pt>
                <c:pt idx="27">
                  <c:v>6.0556890553303813E-3</c:v>
                </c:pt>
                <c:pt idx="28">
                  <c:v>5.9690198349336239E-3</c:v>
                </c:pt>
                <c:pt idx="29">
                  <c:v>5.8854605676998606E-3</c:v>
                </c:pt>
                <c:pt idx="30">
                  <c:v>5.8050112536290914E-3</c:v>
                </c:pt>
                <c:pt idx="31">
                  <c:v>5.7276718927213102E-3</c:v>
                </c:pt>
                <c:pt idx="32">
                  <c:v>5.6534424849765223E-3</c:v>
                </c:pt>
                <c:pt idx="33">
                  <c:v>5.5823230303947216E-3</c:v>
                </c:pt>
                <c:pt idx="34">
                  <c:v>5.514313528975915E-3</c:v>
                </c:pt>
                <c:pt idx="35">
                  <c:v>5.4494139807201034E-3</c:v>
                </c:pt>
                <c:pt idx="36">
                  <c:v>5.3876243856272781E-3</c:v>
                </c:pt>
                <c:pt idx="37">
                  <c:v>5.3289447436974478E-3</c:v>
                </c:pt>
                <c:pt idx="38">
                  <c:v>5.2733750549306107E-3</c:v>
                </c:pt>
                <c:pt idx="39">
                  <c:v>5.2209153193267608E-3</c:v>
                </c:pt>
                <c:pt idx="40">
                  <c:v>5.1715655368858981E-3</c:v>
                </c:pt>
                <c:pt idx="41">
                  <c:v>5.1253257076080295E-3</c:v>
                </c:pt>
                <c:pt idx="42">
                  <c:v>5.0821958314931559E-3</c:v>
                </c:pt>
                <c:pt idx="43">
                  <c:v>5.0421759085412755E-3</c:v>
                </c:pt>
                <c:pt idx="44">
                  <c:v>5.0052659387523823E-3</c:v>
                </c:pt>
                <c:pt idx="45">
                  <c:v>4.9714659221264841E-3</c:v>
                </c:pt>
                <c:pt idx="46">
                  <c:v>4.9407758586635722E-3</c:v>
                </c:pt>
                <c:pt idx="47">
                  <c:v>4.9131957483636544E-3</c:v>
                </c:pt>
                <c:pt idx="48">
                  <c:v>4.8887255912267308E-3</c:v>
                </c:pt>
                <c:pt idx="49">
                  <c:v>4.8673653872527952E-3</c:v>
                </c:pt>
                <c:pt idx="50">
                  <c:v>4.8491151364418467E-3</c:v>
                </c:pt>
                <c:pt idx="51">
                  <c:v>4.8339748387938985E-3</c:v>
                </c:pt>
                <c:pt idx="52">
                  <c:v>4.8219444943089374E-3</c:v>
                </c:pt>
                <c:pt idx="53">
                  <c:v>4.8130241029869635E-3</c:v>
                </c:pt>
                <c:pt idx="54">
                  <c:v>4.8072136648279837E-3</c:v>
                </c:pt>
                <c:pt idx="55">
                  <c:v>4.804513179832005E-3</c:v>
                </c:pt>
                <c:pt idx="56">
                  <c:v>4.8049226479990065E-3</c:v>
                </c:pt>
                <c:pt idx="57">
                  <c:v>4.8084420693290031E-3</c:v>
                </c:pt>
                <c:pt idx="58">
                  <c:v>4.8150714438219859E-3</c:v>
                </c:pt>
                <c:pt idx="59">
                  <c:v>4.8248107714779706E-3</c:v>
                </c:pt>
                <c:pt idx="60">
                  <c:v>4.8376600522969347E-3</c:v>
                </c:pt>
                <c:pt idx="61">
                  <c:v>4.8536192862788999E-3</c:v>
                </c:pt>
                <c:pt idx="62">
                  <c:v>4.8726884734238462E-3</c:v>
                </c:pt>
                <c:pt idx="63">
                  <c:v>4.8948676137317996E-3</c:v>
                </c:pt>
                <c:pt idx="64">
                  <c:v>4.9201567072027341E-3</c:v>
                </c:pt>
                <c:pt idx="65">
                  <c:v>4.948555753836654E-3</c:v>
                </c:pt>
                <c:pt idx="66">
                  <c:v>4.9800647536335767E-3</c:v>
                </c:pt>
                <c:pt idx="67">
                  <c:v>5.0146837065934858E-3</c:v>
                </c:pt>
                <c:pt idx="68">
                  <c:v>5.052412612716389E-3</c:v>
                </c:pt>
                <c:pt idx="69">
                  <c:v>5.0932514720022793E-3</c:v>
                </c:pt>
                <c:pt idx="70">
                  <c:v>5.1372002844511638E-3</c:v>
                </c:pt>
                <c:pt idx="71">
                  <c:v>5.1842590500630363E-3</c:v>
                </c:pt>
                <c:pt idx="72">
                  <c:v>5.2344277688379029E-3</c:v>
                </c:pt>
                <c:pt idx="73">
                  <c:v>5.2877064407757628E-3</c:v>
                </c:pt>
                <c:pt idx="74">
                  <c:v>5.3440950658766029E-3</c:v>
                </c:pt>
                <c:pt idx="75">
                  <c:v>5.403593644140451E-3</c:v>
                </c:pt>
                <c:pt idx="76">
                  <c:v>5.4662021755672793E-3</c:v>
                </c:pt>
                <c:pt idx="77">
                  <c:v>5.5319206601571018E-3</c:v>
                </c:pt>
                <c:pt idx="78">
                  <c:v>5.6007490979099192E-3</c:v>
                </c:pt>
                <c:pt idx="79">
                  <c:v>5.6726874888257308E-3</c:v>
                </c:pt>
                <c:pt idx="80">
                  <c:v>5.7477358329045217E-3</c:v>
                </c:pt>
              </c:numCache>
            </c:numRef>
          </c:val>
          <c:extLst>
            <c:ext xmlns:c16="http://schemas.microsoft.com/office/drawing/2014/chart" uri="{C3380CC4-5D6E-409C-BE32-E72D297353CC}">
              <c16:uniqueId val="{000000B9-B0BD-44B6-BED5-7CDF3E877C37}"/>
            </c:ext>
          </c:extLst>
        </c:ser>
        <c:ser>
          <c:idx val="66"/>
          <c:order val="66"/>
          <c:tx>
            <c:strRef>
              <c:f>Interpolation!$S$69</c:f>
              <c:strCache>
                <c:ptCount val="1"/>
                <c:pt idx="0">
                  <c:v>36.6</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Interpolation!$T$69:$CV$69</c:f>
              <c:numCache>
                <c:formatCode>General</c:formatCode>
                <c:ptCount val="81"/>
                <c:pt idx="0">
                  <c:v>9.586577078256232E-3</c:v>
                </c:pt>
                <c:pt idx="1">
                  <c:v>9.415843891875976E-3</c:v>
                </c:pt>
                <c:pt idx="2">
                  <c:v>9.2482206586587158E-3</c:v>
                </c:pt>
                <c:pt idx="3">
                  <c:v>9.083707378604448E-3</c:v>
                </c:pt>
                <c:pt idx="4">
                  <c:v>8.9223040517131744E-3</c:v>
                </c:pt>
                <c:pt idx="5">
                  <c:v>8.7640106779848827E-3</c:v>
                </c:pt>
                <c:pt idx="6">
                  <c:v>8.6088272574195834E-3</c:v>
                </c:pt>
                <c:pt idx="7">
                  <c:v>8.456753790017266E-3</c:v>
                </c:pt>
                <c:pt idx="8">
                  <c:v>8.307790275777955E-3</c:v>
                </c:pt>
                <c:pt idx="9">
                  <c:v>8.1619367147016397E-3</c:v>
                </c:pt>
                <c:pt idx="10">
                  <c:v>8.019193106788303E-3</c:v>
                </c:pt>
                <c:pt idx="11">
                  <c:v>7.8795594520379621E-3</c:v>
                </c:pt>
                <c:pt idx="12">
                  <c:v>7.7430357504506137E-3</c:v>
                </c:pt>
                <c:pt idx="13">
                  <c:v>7.6096220020262601E-3</c:v>
                </c:pt>
                <c:pt idx="14">
                  <c:v>7.4793182067648869E-3</c:v>
                </c:pt>
                <c:pt idx="15">
                  <c:v>7.3521243646665147E-3</c:v>
                </c:pt>
                <c:pt idx="16">
                  <c:v>7.2280404757311296E-3</c:v>
                </c:pt>
                <c:pt idx="17">
                  <c:v>7.1070665399587318E-3</c:v>
                </c:pt>
                <c:pt idx="18">
                  <c:v>6.989202557349335E-3</c:v>
                </c:pt>
                <c:pt idx="19">
                  <c:v>6.8744485279029245E-3</c:v>
                </c:pt>
                <c:pt idx="20">
                  <c:v>6.7628044516195029E-3</c:v>
                </c:pt>
                <c:pt idx="21">
                  <c:v>6.6542703284990807E-3</c:v>
                </c:pt>
                <c:pt idx="22">
                  <c:v>6.5488461585416465E-3</c:v>
                </c:pt>
                <c:pt idx="23">
                  <c:v>6.4465319417471995E-3</c:v>
                </c:pt>
                <c:pt idx="24">
                  <c:v>6.3473276781157465E-3</c:v>
                </c:pt>
                <c:pt idx="25">
                  <c:v>6.2512333676472808E-3</c:v>
                </c:pt>
                <c:pt idx="26">
                  <c:v>6.1582490103418161E-3</c:v>
                </c:pt>
                <c:pt idx="27">
                  <c:v>6.0683746061993386E-3</c:v>
                </c:pt>
                <c:pt idx="28">
                  <c:v>5.9816101552198483E-3</c:v>
                </c:pt>
                <c:pt idx="29">
                  <c:v>5.8979556574033521E-3</c:v>
                </c:pt>
                <c:pt idx="30">
                  <c:v>5.8174111127498492E-3</c:v>
                </c:pt>
                <c:pt idx="31">
                  <c:v>5.7399765212593351E-3</c:v>
                </c:pt>
                <c:pt idx="32">
                  <c:v>5.6656518829318143E-3</c:v>
                </c:pt>
                <c:pt idx="33">
                  <c:v>5.5944371977672798E-3</c:v>
                </c:pt>
                <c:pt idx="34">
                  <c:v>5.5263324657657403E-3</c:v>
                </c:pt>
                <c:pt idx="35">
                  <c:v>5.4613376869271949E-3</c:v>
                </c:pt>
                <c:pt idx="36">
                  <c:v>5.3994528612516367E-3</c:v>
                </c:pt>
                <c:pt idx="37">
                  <c:v>5.3406779887390727E-3</c:v>
                </c:pt>
                <c:pt idx="38">
                  <c:v>5.2850130693895027E-3</c:v>
                </c:pt>
                <c:pt idx="39">
                  <c:v>5.2324581032029199E-3</c:v>
                </c:pt>
                <c:pt idx="40">
                  <c:v>5.1830130901793243E-3</c:v>
                </c:pt>
                <c:pt idx="41">
                  <c:v>5.1366780303187228E-3</c:v>
                </c:pt>
                <c:pt idx="42">
                  <c:v>5.0934529236211154E-3</c:v>
                </c:pt>
                <c:pt idx="43">
                  <c:v>5.0533377700865013E-3</c:v>
                </c:pt>
                <c:pt idx="44">
                  <c:v>5.0163325697148752E-3</c:v>
                </c:pt>
                <c:pt idx="45">
                  <c:v>4.9824373225062432E-3</c:v>
                </c:pt>
                <c:pt idx="46">
                  <c:v>4.9516520284605984E-3</c:v>
                </c:pt>
                <c:pt idx="47">
                  <c:v>4.9239766875779478E-3</c:v>
                </c:pt>
                <c:pt idx="48">
                  <c:v>4.8994112998582912E-3</c:v>
                </c:pt>
                <c:pt idx="49">
                  <c:v>4.8779558653016218E-3</c:v>
                </c:pt>
                <c:pt idx="50">
                  <c:v>4.8596103839079396E-3</c:v>
                </c:pt>
                <c:pt idx="51">
                  <c:v>4.8443748556772585E-3</c:v>
                </c:pt>
                <c:pt idx="52">
                  <c:v>4.8322492806095645E-3</c:v>
                </c:pt>
                <c:pt idx="53">
                  <c:v>4.8232336587048577E-3</c:v>
                </c:pt>
                <c:pt idx="54">
                  <c:v>4.8173279899631442E-3</c:v>
                </c:pt>
                <c:pt idx="55">
                  <c:v>4.8145322743844334E-3</c:v>
                </c:pt>
                <c:pt idx="56">
                  <c:v>4.8148465119687012E-3</c:v>
                </c:pt>
                <c:pt idx="57">
                  <c:v>4.8182707027159639E-3</c:v>
                </c:pt>
                <c:pt idx="58">
                  <c:v>4.8248048466262138E-3</c:v>
                </c:pt>
                <c:pt idx="59">
                  <c:v>4.8344489436994657E-3</c:v>
                </c:pt>
                <c:pt idx="60">
                  <c:v>4.847202993935696E-3</c:v>
                </c:pt>
                <c:pt idx="61">
                  <c:v>4.8630669973349283E-3</c:v>
                </c:pt>
                <c:pt idx="62">
                  <c:v>4.8820409538971408E-3</c:v>
                </c:pt>
                <c:pt idx="63">
                  <c:v>4.9041248636223613E-3</c:v>
                </c:pt>
                <c:pt idx="64">
                  <c:v>4.929318726510562E-3</c:v>
                </c:pt>
                <c:pt idx="65">
                  <c:v>4.9576225425617491E-3</c:v>
                </c:pt>
                <c:pt idx="66">
                  <c:v>4.9890363117759389E-3</c:v>
                </c:pt>
                <c:pt idx="67">
                  <c:v>5.0235600341531142E-3</c:v>
                </c:pt>
                <c:pt idx="68">
                  <c:v>5.0611937096932845E-3</c:v>
                </c:pt>
                <c:pt idx="69">
                  <c:v>5.1019373383964419E-3</c:v>
                </c:pt>
                <c:pt idx="70">
                  <c:v>5.1457909202625935E-3</c:v>
                </c:pt>
                <c:pt idx="71">
                  <c:v>5.1927544552917322E-3</c:v>
                </c:pt>
                <c:pt idx="72">
                  <c:v>5.2428279434838659E-3</c:v>
                </c:pt>
                <c:pt idx="73">
                  <c:v>5.296011384838992E-3</c:v>
                </c:pt>
                <c:pt idx="74">
                  <c:v>5.3523047793571001E-3</c:v>
                </c:pt>
                <c:pt idx="75">
                  <c:v>5.4117081270382145E-3</c:v>
                </c:pt>
                <c:pt idx="76">
                  <c:v>5.474221427882309E-3</c:v>
                </c:pt>
                <c:pt idx="77">
                  <c:v>5.5398446818893995E-3</c:v>
                </c:pt>
                <c:pt idx="78">
                  <c:v>5.6085778890594823E-3</c:v>
                </c:pt>
                <c:pt idx="79">
                  <c:v>5.680421049392561E-3</c:v>
                </c:pt>
                <c:pt idx="80">
                  <c:v>5.7553741628886181E-3</c:v>
                </c:pt>
              </c:numCache>
            </c:numRef>
          </c:val>
          <c:extLst>
            <c:ext xmlns:c16="http://schemas.microsoft.com/office/drawing/2014/chart" uri="{C3380CC4-5D6E-409C-BE32-E72D297353CC}">
              <c16:uniqueId val="{000000BA-B0BD-44B6-BED5-7CDF3E877C37}"/>
            </c:ext>
          </c:extLst>
        </c:ser>
        <c:ser>
          <c:idx val="67"/>
          <c:order val="67"/>
          <c:tx>
            <c:strRef>
              <c:f>Interpolation!$S$70</c:f>
              <c:strCache>
                <c:ptCount val="1"/>
                <c:pt idx="0">
                  <c:v>36.7</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Interpolation!$T$70:$CV$70</c:f>
              <c:numCache>
                <c:formatCode>General</c:formatCode>
                <c:ptCount val="81"/>
                <c:pt idx="0">
                  <c:v>9.6027343085857905E-3</c:v>
                </c:pt>
                <c:pt idx="1">
                  <c:v>9.4319058916228007E-3</c:v>
                </c:pt>
                <c:pt idx="2">
                  <c:v>9.2641874278228068E-3</c:v>
                </c:pt>
                <c:pt idx="3">
                  <c:v>9.099578917185807E-3</c:v>
                </c:pt>
                <c:pt idx="4">
                  <c:v>8.9380803597118013E-3</c:v>
                </c:pt>
                <c:pt idx="5">
                  <c:v>8.7796917554007758E-3</c:v>
                </c:pt>
                <c:pt idx="6">
                  <c:v>8.6244131042527428E-3</c:v>
                </c:pt>
                <c:pt idx="7">
                  <c:v>8.4722444062676917E-3</c:v>
                </c:pt>
                <c:pt idx="8">
                  <c:v>8.3231856614456486E-3</c:v>
                </c:pt>
                <c:pt idx="9">
                  <c:v>8.1772368697865996E-3</c:v>
                </c:pt>
                <c:pt idx="10">
                  <c:v>8.0343980312905291E-3</c:v>
                </c:pt>
                <c:pt idx="11">
                  <c:v>7.8946691459574544E-3</c:v>
                </c:pt>
                <c:pt idx="12">
                  <c:v>7.7580502137873739E-3</c:v>
                </c:pt>
                <c:pt idx="13">
                  <c:v>7.6245412347802875E-3</c:v>
                </c:pt>
                <c:pt idx="14">
                  <c:v>7.4941422089361805E-3</c:v>
                </c:pt>
                <c:pt idx="15">
                  <c:v>7.3668531362550754E-3</c:v>
                </c:pt>
                <c:pt idx="16">
                  <c:v>7.2426740167369566E-3</c:v>
                </c:pt>
                <c:pt idx="17">
                  <c:v>7.1216048503818258E-3</c:v>
                </c:pt>
                <c:pt idx="18">
                  <c:v>7.0036456371896953E-3</c:v>
                </c:pt>
                <c:pt idx="19">
                  <c:v>6.8887963771605528E-3</c:v>
                </c:pt>
                <c:pt idx="20">
                  <c:v>6.7770570702943966E-3</c:v>
                </c:pt>
                <c:pt idx="21">
                  <c:v>6.6684277165912423E-3</c:v>
                </c:pt>
                <c:pt idx="22">
                  <c:v>6.5629083160510752E-3</c:v>
                </c:pt>
                <c:pt idx="23">
                  <c:v>6.4604988686738944E-3</c:v>
                </c:pt>
                <c:pt idx="24">
                  <c:v>6.3611993744597077E-3</c:v>
                </c:pt>
                <c:pt idx="25">
                  <c:v>6.2650098334085091E-3</c:v>
                </c:pt>
                <c:pt idx="26">
                  <c:v>6.1719302455203115E-3</c:v>
                </c:pt>
                <c:pt idx="27">
                  <c:v>6.0819606107951002E-3</c:v>
                </c:pt>
                <c:pt idx="28">
                  <c:v>5.9951009292328761E-3</c:v>
                </c:pt>
                <c:pt idx="29">
                  <c:v>5.911351200833647E-3</c:v>
                </c:pt>
                <c:pt idx="30">
                  <c:v>5.8307114255974121E-3</c:v>
                </c:pt>
                <c:pt idx="31">
                  <c:v>5.7531816035241642E-3</c:v>
                </c:pt>
                <c:pt idx="32">
                  <c:v>5.6787617346139097E-3</c:v>
                </c:pt>
                <c:pt idx="33">
                  <c:v>5.6074518188666423E-3</c:v>
                </c:pt>
                <c:pt idx="34">
                  <c:v>5.5392518562823699E-3</c:v>
                </c:pt>
                <c:pt idx="35">
                  <c:v>5.4741618468610916E-3</c:v>
                </c:pt>
                <c:pt idx="36">
                  <c:v>5.4121817906027997E-3</c:v>
                </c:pt>
                <c:pt idx="37">
                  <c:v>5.3533116875075018E-3</c:v>
                </c:pt>
                <c:pt idx="38">
                  <c:v>5.2975515375751989E-3</c:v>
                </c:pt>
                <c:pt idx="39">
                  <c:v>5.2449013408058832E-3</c:v>
                </c:pt>
                <c:pt idx="40">
                  <c:v>5.1953610971995539E-3</c:v>
                </c:pt>
                <c:pt idx="41">
                  <c:v>5.1489308067562195E-3</c:v>
                </c:pt>
                <c:pt idx="42">
                  <c:v>5.1056104694758783E-3</c:v>
                </c:pt>
                <c:pt idx="43">
                  <c:v>5.0654000853585322E-3</c:v>
                </c:pt>
                <c:pt idx="44">
                  <c:v>5.0282996544041723E-3</c:v>
                </c:pt>
                <c:pt idx="45">
                  <c:v>4.9943091766128074E-3</c:v>
                </c:pt>
                <c:pt idx="46">
                  <c:v>4.9634286519844289E-3</c:v>
                </c:pt>
                <c:pt idx="47">
                  <c:v>4.9356580805190453E-3</c:v>
                </c:pt>
                <c:pt idx="48">
                  <c:v>4.9109974622166559E-3</c:v>
                </c:pt>
                <c:pt idx="49">
                  <c:v>4.8894467970772536E-3</c:v>
                </c:pt>
                <c:pt idx="50">
                  <c:v>4.8710060851008376E-3</c:v>
                </c:pt>
                <c:pt idx="51">
                  <c:v>4.8556753262874227E-3</c:v>
                </c:pt>
                <c:pt idx="52">
                  <c:v>4.8434545206369958E-3</c:v>
                </c:pt>
                <c:pt idx="53">
                  <c:v>4.8343436681495553E-3</c:v>
                </c:pt>
                <c:pt idx="54">
                  <c:v>4.8283427688251097E-3</c:v>
                </c:pt>
                <c:pt idx="55">
                  <c:v>4.8254518226636643E-3</c:v>
                </c:pt>
                <c:pt idx="56">
                  <c:v>4.8256708296652E-3</c:v>
                </c:pt>
                <c:pt idx="57">
                  <c:v>4.828999789829729E-3</c:v>
                </c:pt>
                <c:pt idx="58">
                  <c:v>4.8354387031572452E-3</c:v>
                </c:pt>
                <c:pt idx="59">
                  <c:v>4.8449875696477641E-3</c:v>
                </c:pt>
                <c:pt idx="60">
                  <c:v>4.8576463893012616E-3</c:v>
                </c:pt>
                <c:pt idx="61">
                  <c:v>4.8734151621177609E-3</c:v>
                </c:pt>
                <c:pt idx="62">
                  <c:v>4.8922938880972405E-3</c:v>
                </c:pt>
                <c:pt idx="63">
                  <c:v>4.9142825672397273E-3</c:v>
                </c:pt>
                <c:pt idx="64">
                  <c:v>4.9393811995451942E-3</c:v>
                </c:pt>
                <c:pt idx="65">
                  <c:v>4.9675897850136493E-3</c:v>
                </c:pt>
                <c:pt idx="66">
                  <c:v>4.9989083236451045E-3</c:v>
                </c:pt>
                <c:pt idx="67">
                  <c:v>5.0333368154395468E-3</c:v>
                </c:pt>
                <c:pt idx="68">
                  <c:v>5.0708752603969842E-3</c:v>
                </c:pt>
                <c:pt idx="69">
                  <c:v>5.1115236585174088E-3</c:v>
                </c:pt>
                <c:pt idx="70">
                  <c:v>5.1552820098008274E-3</c:v>
                </c:pt>
                <c:pt idx="71">
                  <c:v>5.2021503142472324E-3</c:v>
                </c:pt>
                <c:pt idx="72">
                  <c:v>5.2521285718566324E-3</c:v>
                </c:pt>
                <c:pt idx="73">
                  <c:v>5.3052167826290256E-3</c:v>
                </c:pt>
                <c:pt idx="74">
                  <c:v>5.3614149465643999E-3</c:v>
                </c:pt>
                <c:pt idx="75">
                  <c:v>5.4207230636627813E-3</c:v>
                </c:pt>
                <c:pt idx="76">
                  <c:v>5.483141133924143E-3</c:v>
                </c:pt>
                <c:pt idx="77">
                  <c:v>5.5486691573484997E-3</c:v>
                </c:pt>
                <c:pt idx="78">
                  <c:v>5.6173071339358505E-3</c:v>
                </c:pt>
                <c:pt idx="79">
                  <c:v>5.6890550636861954E-3</c:v>
                </c:pt>
                <c:pt idx="80">
                  <c:v>5.7639129465995196E-3</c:v>
                </c:pt>
              </c:numCache>
            </c:numRef>
          </c:val>
          <c:extLst>
            <c:ext xmlns:c16="http://schemas.microsoft.com/office/drawing/2014/chart" uri="{C3380CC4-5D6E-409C-BE32-E72D297353CC}">
              <c16:uniqueId val="{000000BB-B0BD-44B6-BED5-7CDF3E877C37}"/>
            </c:ext>
          </c:extLst>
        </c:ser>
        <c:ser>
          <c:idx val="68"/>
          <c:order val="68"/>
          <c:tx>
            <c:strRef>
              <c:f>Interpolation!$S$71</c:f>
              <c:strCache>
                <c:ptCount val="1"/>
                <c:pt idx="0">
                  <c:v>36.8</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Interpolation!$T$71:$CV$71</c:f>
              <c:numCache>
                <c:formatCode>General</c:formatCode>
                <c:ptCount val="81"/>
                <c:pt idx="0">
                  <c:v>9.619791992642188E-3</c:v>
                </c:pt>
                <c:pt idx="1">
                  <c:v>9.4488683450964662E-3</c:v>
                </c:pt>
                <c:pt idx="2">
                  <c:v>9.2810546507137385E-3</c:v>
                </c:pt>
                <c:pt idx="3">
                  <c:v>9.1163509094940049E-3</c:v>
                </c:pt>
                <c:pt idx="4">
                  <c:v>8.9547571214372654E-3</c:v>
                </c:pt>
                <c:pt idx="5">
                  <c:v>8.7962732865435062E-3</c:v>
                </c:pt>
                <c:pt idx="6">
                  <c:v>8.6408994048127411E-3</c:v>
                </c:pt>
                <c:pt idx="7">
                  <c:v>8.488635476244958E-3</c:v>
                </c:pt>
                <c:pt idx="8">
                  <c:v>8.3394815008401811E-3</c:v>
                </c:pt>
                <c:pt idx="9">
                  <c:v>8.1934374785983984E-3</c:v>
                </c:pt>
                <c:pt idx="10">
                  <c:v>8.0505034095195958E-3</c:v>
                </c:pt>
                <c:pt idx="11">
                  <c:v>7.9106792936037874E-3</c:v>
                </c:pt>
                <c:pt idx="12">
                  <c:v>7.7739651308509732E-3</c:v>
                </c:pt>
                <c:pt idx="13">
                  <c:v>7.640360921261153E-3</c:v>
                </c:pt>
                <c:pt idx="14">
                  <c:v>7.5098666648343131E-3</c:v>
                </c:pt>
                <c:pt idx="15">
                  <c:v>7.3824823615704742E-3</c:v>
                </c:pt>
                <c:pt idx="16">
                  <c:v>7.2582080114696234E-3</c:v>
                </c:pt>
                <c:pt idx="17">
                  <c:v>7.1370436145317588E-3</c:v>
                </c:pt>
                <c:pt idx="18">
                  <c:v>7.0189891707568954E-3</c:v>
                </c:pt>
                <c:pt idx="19">
                  <c:v>6.9040446801450191E-3</c:v>
                </c:pt>
                <c:pt idx="20">
                  <c:v>6.7922101426961309E-3</c:v>
                </c:pt>
                <c:pt idx="21">
                  <c:v>6.6834855584102428E-3</c:v>
                </c:pt>
                <c:pt idx="22">
                  <c:v>6.5778709272873419E-3</c:v>
                </c:pt>
                <c:pt idx="23">
                  <c:v>6.4753662493274283E-3</c:v>
                </c:pt>
                <c:pt idx="24">
                  <c:v>6.3759715245305087E-3</c:v>
                </c:pt>
                <c:pt idx="25">
                  <c:v>6.2796867528965763E-3</c:v>
                </c:pt>
                <c:pt idx="26">
                  <c:v>6.1865119344256458E-3</c:v>
                </c:pt>
                <c:pt idx="27">
                  <c:v>6.0964470691177016E-3</c:v>
                </c:pt>
                <c:pt idx="28">
                  <c:v>6.0094921569727447E-3</c:v>
                </c:pt>
                <c:pt idx="29">
                  <c:v>5.9256471979907818E-3</c:v>
                </c:pt>
                <c:pt idx="30">
                  <c:v>5.844912192171813E-3</c:v>
                </c:pt>
                <c:pt idx="31">
                  <c:v>5.7672871395158323E-3</c:v>
                </c:pt>
                <c:pt idx="32">
                  <c:v>5.6927720400228449E-3</c:v>
                </c:pt>
                <c:pt idx="33">
                  <c:v>5.6213668936928446E-3</c:v>
                </c:pt>
                <c:pt idx="34">
                  <c:v>5.5530717005258384E-3</c:v>
                </c:pt>
                <c:pt idx="35">
                  <c:v>5.4878864605218264E-3</c:v>
                </c:pt>
                <c:pt idx="36">
                  <c:v>5.4258111736808015E-3</c:v>
                </c:pt>
                <c:pt idx="37">
                  <c:v>5.3668458400027708E-3</c:v>
                </c:pt>
                <c:pt idx="38">
                  <c:v>5.310990459487735E-3</c:v>
                </c:pt>
                <c:pt idx="39">
                  <c:v>5.2582450321356855E-3</c:v>
                </c:pt>
                <c:pt idx="40">
                  <c:v>5.2086095579466233E-3</c:v>
                </c:pt>
                <c:pt idx="41">
                  <c:v>5.1620840369205551E-3</c:v>
                </c:pt>
                <c:pt idx="42">
                  <c:v>5.1186684690574819E-3</c:v>
                </c:pt>
                <c:pt idx="43">
                  <c:v>5.078362854357402E-3</c:v>
                </c:pt>
                <c:pt idx="44">
                  <c:v>5.0411671928203092E-3</c:v>
                </c:pt>
                <c:pt idx="45">
                  <c:v>5.0070814844462106E-3</c:v>
                </c:pt>
                <c:pt idx="46">
                  <c:v>4.9761057292350992E-3</c:v>
                </c:pt>
                <c:pt idx="47">
                  <c:v>4.9482399271869818E-3</c:v>
                </c:pt>
                <c:pt idx="48">
                  <c:v>4.9234840783018586E-3</c:v>
                </c:pt>
                <c:pt idx="49">
                  <c:v>4.9018381825797234E-3</c:v>
                </c:pt>
                <c:pt idx="50">
                  <c:v>4.8833022400205746E-3</c:v>
                </c:pt>
                <c:pt idx="51">
                  <c:v>4.8678762506244276E-3</c:v>
                </c:pt>
                <c:pt idx="52">
                  <c:v>4.855560214391267E-3</c:v>
                </c:pt>
                <c:pt idx="53">
                  <c:v>4.8463541313210935E-3</c:v>
                </c:pt>
                <c:pt idx="54">
                  <c:v>4.8402580014139142E-3</c:v>
                </c:pt>
                <c:pt idx="55">
                  <c:v>4.8372718246697359E-3</c:v>
                </c:pt>
                <c:pt idx="56">
                  <c:v>4.8373956010885379E-3</c:v>
                </c:pt>
                <c:pt idx="57">
                  <c:v>4.8406293306703339E-3</c:v>
                </c:pt>
                <c:pt idx="58">
                  <c:v>4.8469730134151172E-3</c:v>
                </c:pt>
                <c:pt idx="59">
                  <c:v>4.8564266493229024E-3</c:v>
                </c:pt>
                <c:pt idx="60">
                  <c:v>4.8689902383936669E-3</c:v>
                </c:pt>
                <c:pt idx="61">
                  <c:v>4.8846637806274325E-3</c:v>
                </c:pt>
                <c:pt idx="62">
                  <c:v>4.9034472760241792E-3</c:v>
                </c:pt>
                <c:pt idx="63">
                  <c:v>4.9253407245839331E-3</c:v>
                </c:pt>
                <c:pt idx="64">
                  <c:v>4.9503441263066671E-3</c:v>
                </c:pt>
                <c:pt idx="65">
                  <c:v>4.9784574811923884E-3</c:v>
                </c:pt>
                <c:pt idx="66">
                  <c:v>5.0096807892411107E-3</c:v>
                </c:pt>
                <c:pt idx="67">
                  <c:v>5.0440140504528202E-3</c:v>
                </c:pt>
                <c:pt idx="68">
                  <c:v>5.0814572648275238E-3</c:v>
                </c:pt>
                <c:pt idx="69">
                  <c:v>5.1220104323652146E-3</c:v>
                </c:pt>
                <c:pt idx="70">
                  <c:v>5.1656735530658995E-3</c:v>
                </c:pt>
                <c:pt idx="71">
                  <c:v>5.2124466269295715E-3</c:v>
                </c:pt>
                <c:pt idx="72">
                  <c:v>5.2623296539562395E-3</c:v>
                </c:pt>
                <c:pt idx="73">
                  <c:v>5.3153226341458998E-3</c:v>
                </c:pt>
                <c:pt idx="74">
                  <c:v>5.3714255674985403E-3</c:v>
                </c:pt>
                <c:pt idx="75">
                  <c:v>5.4306384540141889E-3</c:v>
                </c:pt>
                <c:pt idx="76">
                  <c:v>5.4929612936928177E-3</c:v>
                </c:pt>
                <c:pt idx="77">
                  <c:v>5.5583940865344406E-3</c:v>
                </c:pt>
                <c:pt idx="78">
                  <c:v>5.6269368325390576E-3</c:v>
                </c:pt>
                <c:pt idx="79">
                  <c:v>5.6985895317066687E-3</c:v>
                </c:pt>
                <c:pt idx="80">
                  <c:v>5.7733521840372601E-3</c:v>
                </c:pt>
              </c:numCache>
            </c:numRef>
          </c:val>
          <c:extLst>
            <c:ext xmlns:c16="http://schemas.microsoft.com/office/drawing/2014/chart" uri="{C3380CC4-5D6E-409C-BE32-E72D297353CC}">
              <c16:uniqueId val="{000000BC-B0BD-44B6-BED5-7CDF3E877C37}"/>
            </c:ext>
          </c:extLst>
        </c:ser>
        <c:ser>
          <c:idx val="69"/>
          <c:order val="69"/>
          <c:tx>
            <c:strRef>
              <c:f>Interpolation!$S$72</c:f>
              <c:strCache>
                <c:ptCount val="1"/>
                <c:pt idx="0">
                  <c:v>36.9</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Interpolation!$T$72:$CV$72</c:f>
              <c:numCache>
                <c:formatCode>General</c:formatCode>
                <c:ptCount val="81"/>
                <c:pt idx="0">
                  <c:v>9.6377501304253828E-3</c:v>
                </c:pt>
                <c:pt idx="1">
                  <c:v>9.4667312522969272E-3</c:v>
                </c:pt>
                <c:pt idx="2">
                  <c:v>9.2988223273314675E-3</c:v>
                </c:pt>
                <c:pt idx="3">
                  <c:v>9.1340233555290001E-3</c:v>
                </c:pt>
                <c:pt idx="4">
                  <c:v>8.9723343368895286E-3</c:v>
                </c:pt>
                <c:pt idx="5">
                  <c:v>8.8137552714130356E-3</c:v>
                </c:pt>
                <c:pt idx="6">
                  <c:v>8.6582861590995368E-3</c:v>
                </c:pt>
                <c:pt idx="7">
                  <c:v>8.5059269999490199E-3</c:v>
                </c:pt>
                <c:pt idx="8">
                  <c:v>8.3566777939615092E-3</c:v>
                </c:pt>
                <c:pt idx="9">
                  <c:v>8.2105385411369945E-3</c:v>
                </c:pt>
                <c:pt idx="10">
                  <c:v>8.0675092414754582E-3</c:v>
                </c:pt>
                <c:pt idx="11">
                  <c:v>7.9275898949769177E-3</c:v>
                </c:pt>
                <c:pt idx="12">
                  <c:v>7.7907805016413697E-3</c:v>
                </c:pt>
                <c:pt idx="13">
                  <c:v>7.6570810614688166E-3</c:v>
                </c:pt>
                <c:pt idx="14">
                  <c:v>7.5264915744592438E-3</c:v>
                </c:pt>
                <c:pt idx="15">
                  <c:v>7.3990120406126712E-3</c:v>
                </c:pt>
                <c:pt idx="16">
                  <c:v>7.2746424599290866E-3</c:v>
                </c:pt>
                <c:pt idx="17">
                  <c:v>7.1533828324084892E-3</c:v>
                </c:pt>
                <c:pt idx="18">
                  <c:v>7.0352331580508928E-3</c:v>
                </c:pt>
                <c:pt idx="19">
                  <c:v>6.9201934368562836E-3</c:v>
                </c:pt>
                <c:pt idx="20">
                  <c:v>6.8082636688246607E-3</c:v>
                </c:pt>
                <c:pt idx="21">
                  <c:v>6.6994438539560398E-3</c:v>
                </c:pt>
                <c:pt idx="22">
                  <c:v>6.593733992250406E-3</c:v>
                </c:pt>
                <c:pt idx="23">
                  <c:v>6.4911340837077586E-3</c:v>
                </c:pt>
                <c:pt idx="24">
                  <c:v>6.391644128328107E-3</c:v>
                </c:pt>
                <c:pt idx="25">
                  <c:v>6.2952641261114408E-3</c:v>
                </c:pt>
                <c:pt idx="26">
                  <c:v>6.2019940770577766E-3</c:v>
                </c:pt>
                <c:pt idx="27">
                  <c:v>6.1118339811670995E-3</c:v>
                </c:pt>
                <c:pt idx="28">
                  <c:v>6.0247838384394096E-3</c:v>
                </c:pt>
                <c:pt idx="29">
                  <c:v>5.9408436488747138E-3</c:v>
                </c:pt>
                <c:pt idx="30">
                  <c:v>5.8600134124730113E-3</c:v>
                </c:pt>
                <c:pt idx="31">
                  <c:v>5.7822931292342977E-3</c:v>
                </c:pt>
                <c:pt idx="32">
                  <c:v>5.7076827991585765E-3</c:v>
                </c:pt>
                <c:pt idx="33">
                  <c:v>5.6361824222458433E-3</c:v>
                </c:pt>
                <c:pt idx="34">
                  <c:v>5.5677919984961043E-3</c:v>
                </c:pt>
                <c:pt idx="35">
                  <c:v>5.5025115279093584E-3</c:v>
                </c:pt>
                <c:pt idx="36">
                  <c:v>5.4403410104856007E-3</c:v>
                </c:pt>
                <c:pt idx="37">
                  <c:v>5.381280446224837E-3</c:v>
                </c:pt>
                <c:pt idx="38">
                  <c:v>5.3253298351270675E-3</c:v>
                </c:pt>
                <c:pt idx="39">
                  <c:v>5.2724891771922851E-3</c:v>
                </c:pt>
                <c:pt idx="40">
                  <c:v>5.2227584724204891E-3</c:v>
                </c:pt>
                <c:pt idx="41">
                  <c:v>5.1761377208116889E-3</c:v>
                </c:pt>
                <c:pt idx="42">
                  <c:v>5.1326269223658811E-3</c:v>
                </c:pt>
                <c:pt idx="43">
                  <c:v>5.0922260770830683E-3</c:v>
                </c:pt>
                <c:pt idx="44">
                  <c:v>5.0549351849632426E-3</c:v>
                </c:pt>
                <c:pt idx="45">
                  <c:v>5.0207542460064102E-3</c:v>
                </c:pt>
                <c:pt idx="46">
                  <c:v>4.9896832602125667E-3</c:v>
                </c:pt>
                <c:pt idx="47">
                  <c:v>4.9617222275817156E-3</c:v>
                </c:pt>
                <c:pt idx="48">
                  <c:v>4.9368711481138595E-3</c:v>
                </c:pt>
                <c:pt idx="49">
                  <c:v>4.9151300218089906E-3</c:v>
                </c:pt>
                <c:pt idx="50">
                  <c:v>4.8964988486671088E-3</c:v>
                </c:pt>
                <c:pt idx="51">
                  <c:v>4.8809776286882281E-3</c:v>
                </c:pt>
                <c:pt idx="52">
                  <c:v>4.8685663618723337E-3</c:v>
                </c:pt>
                <c:pt idx="53">
                  <c:v>4.8592650482194273E-3</c:v>
                </c:pt>
                <c:pt idx="54">
                  <c:v>4.8530736877295151E-3</c:v>
                </c:pt>
                <c:pt idx="55">
                  <c:v>4.8499922804026039E-3</c:v>
                </c:pt>
                <c:pt idx="56">
                  <c:v>4.8500208262386721E-3</c:v>
                </c:pt>
                <c:pt idx="57">
                  <c:v>4.8531593252377353E-3</c:v>
                </c:pt>
                <c:pt idx="58">
                  <c:v>4.8594077773997857E-3</c:v>
                </c:pt>
                <c:pt idx="59">
                  <c:v>4.8687661827248371E-3</c:v>
                </c:pt>
                <c:pt idx="60">
                  <c:v>4.8812345412128687E-3</c:v>
                </c:pt>
                <c:pt idx="61">
                  <c:v>4.8968128528639014E-3</c:v>
                </c:pt>
                <c:pt idx="62">
                  <c:v>4.9155011176779135E-3</c:v>
                </c:pt>
                <c:pt idx="63">
                  <c:v>4.9372993356549353E-3</c:v>
                </c:pt>
                <c:pt idx="64">
                  <c:v>4.9622075067949356E-3</c:v>
                </c:pt>
                <c:pt idx="65">
                  <c:v>4.9902256310979231E-3</c:v>
                </c:pt>
                <c:pt idx="66">
                  <c:v>5.0213537085639134E-3</c:v>
                </c:pt>
                <c:pt idx="67">
                  <c:v>5.0555917391928891E-3</c:v>
                </c:pt>
                <c:pt idx="68">
                  <c:v>5.0929397229848598E-3</c:v>
                </c:pt>
                <c:pt idx="69">
                  <c:v>5.1333976599398177E-3</c:v>
                </c:pt>
                <c:pt idx="70">
                  <c:v>5.1769655500577688E-3</c:v>
                </c:pt>
                <c:pt idx="71">
                  <c:v>5.2236433933387089E-3</c:v>
                </c:pt>
                <c:pt idx="72">
                  <c:v>5.2734311897826422E-3</c:v>
                </c:pt>
                <c:pt idx="73">
                  <c:v>5.3263289393895696E-3</c:v>
                </c:pt>
                <c:pt idx="74">
                  <c:v>5.3823366421594764E-3</c:v>
                </c:pt>
                <c:pt idx="75">
                  <c:v>5.441454298092392E-3</c:v>
                </c:pt>
                <c:pt idx="76">
                  <c:v>5.5036819071882879E-3</c:v>
                </c:pt>
                <c:pt idx="77">
                  <c:v>5.569019469447177E-3</c:v>
                </c:pt>
                <c:pt idx="78">
                  <c:v>5.637466984869062E-3</c:v>
                </c:pt>
                <c:pt idx="79">
                  <c:v>5.7090244534539394E-3</c:v>
                </c:pt>
                <c:pt idx="80">
                  <c:v>5.7836918752017978E-3</c:v>
                </c:pt>
              </c:numCache>
            </c:numRef>
          </c:val>
          <c:extLst>
            <c:ext xmlns:c16="http://schemas.microsoft.com/office/drawing/2014/chart" uri="{C3380CC4-5D6E-409C-BE32-E72D297353CC}">
              <c16:uniqueId val="{000000BD-B0BD-44B6-BED5-7CDF3E877C37}"/>
            </c:ext>
          </c:extLst>
        </c:ser>
        <c:ser>
          <c:idx val="70"/>
          <c:order val="70"/>
          <c:tx>
            <c:strRef>
              <c:f>Interpolation!$S$73</c:f>
              <c:strCache>
                <c:ptCount val="1"/>
                <c:pt idx="0">
                  <c:v>37</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Interpolation!$T$73:$CV$73</c:f>
              <c:numCache>
                <c:formatCode>General</c:formatCode>
                <c:ptCount val="81"/>
                <c:pt idx="0">
                  <c:v>9.6566087219354026E-3</c:v>
                </c:pt>
                <c:pt idx="1">
                  <c:v>9.485494613224215E-3</c:v>
                </c:pt>
                <c:pt idx="2">
                  <c:v>9.3174904576760215E-3</c:v>
                </c:pt>
                <c:pt idx="3">
                  <c:v>9.1525962552908204E-3</c:v>
                </c:pt>
                <c:pt idx="4">
                  <c:v>8.9908120060686152E-3</c:v>
                </c:pt>
                <c:pt idx="5">
                  <c:v>8.8321377100093901E-3</c:v>
                </c:pt>
                <c:pt idx="6">
                  <c:v>8.6765733671131592E-3</c:v>
                </c:pt>
                <c:pt idx="7">
                  <c:v>8.5241189773799068E-3</c:v>
                </c:pt>
                <c:pt idx="8">
                  <c:v>8.3747745408096642E-3</c:v>
                </c:pt>
                <c:pt idx="9">
                  <c:v>8.2285400574024156E-3</c:v>
                </c:pt>
                <c:pt idx="10">
                  <c:v>8.0854155271581456E-3</c:v>
                </c:pt>
                <c:pt idx="11">
                  <c:v>7.9454009500768714E-3</c:v>
                </c:pt>
                <c:pt idx="12">
                  <c:v>7.8084963261585913E-3</c:v>
                </c:pt>
                <c:pt idx="13">
                  <c:v>7.6747016554033045E-3</c:v>
                </c:pt>
                <c:pt idx="14">
                  <c:v>7.5440169378109987E-3</c:v>
                </c:pt>
                <c:pt idx="15">
                  <c:v>7.4164421733816932E-3</c:v>
                </c:pt>
                <c:pt idx="16">
                  <c:v>7.2919773621153757E-3</c:v>
                </c:pt>
                <c:pt idx="17">
                  <c:v>7.1706225040120445E-3</c:v>
                </c:pt>
                <c:pt idx="18">
                  <c:v>7.0523775990717144E-3</c:v>
                </c:pt>
                <c:pt idx="19">
                  <c:v>6.9372426472943723E-3</c:v>
                </c:pt>
                <c:pt idx="20">
                  <c:v>6.8252176486800166E-3</c:v>
                </c:pt>
                <c:pt idx="21">
                  <c:v>6.7163026032286627E-3</c:v>
                </c:pt>
                <c:pt idx="22">
                  <c:v>6.6104975109402952E-3</c:v>
                </c:pt>
                <c:pt idx="23">
                  <c:v>6.5078023718149157E-3</c:v>
                </c:pt>
                <c:pt idx="24">
                  <c:v>6.4082171858525295E-3</c:v>
                </c:pt>
                <c:pt idx="25">
                  <c:v>6.3117419530531304E-3</c:v>
                </c:pt>
                <c:pt idx="26">
                  <c:v>6.2183766734167333E-3</c:v>
                </c:pt>
                <c:pt idx="27">
                  <c:v>6.1281213469433233E-3</c:v>
                </c:pt>
                <c:pt idx="28">
                  <c:v>6.0409759736328996E-3</c:v>
                </c:pt>
                <c:pt idx="29">
                  <c:v>5.9569405534854701E-3</c:v>
                </c:pt>
                <c:pt idx="30">
                  <c:v>5.8760150865010356E-3</c:v>
                </c:pt>
                <c:pt idx="31">
                  <c:v>5.7981995726795873E-3</c:v>
                </c:pt>
                <c:pt idx="32">
                  <c:v>5.7234940120211341E-3</c:v>
                </c:pt>
                <c:pt idx="33">
                  <c:v>5.6518984045256671E-3</c:v>
                </c:pt>
                <c:pt idx="34">
                  <c:v>5.5834127501931943E-3</c:v>
                </c:pt>
                <c:pt idx="35">
                  <c:v>5.5180370490237165E-3</c:v>
                </c:pt>
                <c:pt idx="36">
                  <c:v>5.4557713010172249E-3</c:v>
                </c:pt>
                <c:pt idx="37">
                  <c:v>5.3966155061737284E-3</c:v>
                </c:pt>
                <c:pt idx="38">
                  <c:v>5.3405696644932251E-3</c:v>
                </c:pt>
                <c:pt idx="39">
                  <c:v>5.2876337759757098E-3</c:v>
                </c:pt>
                <c:pt idx="40">
                  <c:v>5.2378078406211809E-3</c:v>
                </c:pt>
                <c:pt idx="41">
                  <c:v>5.1910918584296469E-3</c:v>
                </c:pt>
                <c:pt idx="42">
                  <c:v>5.1474858294011062E-3</c:v>
                </c:pt>
                <c:pt idx="43">
                  <c:v>5.1069897535355596E-3</c:v>
                </c:pt>
                <c:pt idx="44">
                  <c:v>5.0696036308330011E-3</c:v>
                </c:pt>
                <c:pt idx="45">
                  <c:v>5.0353274612934358E-3</c:v>
                </c:pt>
                <c:pt idx="46">
                  <c:v>5.0041612449168577E-3</c:v>
                </c:pt>
                <c:pt idx="47">
                  <c:v>4.9761049817032745E-3</c:v>
                </c:pt>
                <c:pt idx="48">
                  <c:v>4.9511586716526855E-3</c:v>
                </c:pt>
                <c:pt idx="49">
                  <c:v>4.9293223147650828E-3</c:v>
                </c:pt>
                <c:pt idx="50">
                  <c:v>4.9105959110404673E-3</c:v>
                </c:pt>
                <c:pt idx="51">
                  <c:v>4.8949794604788537E-3</c:v>
                </c:pt>
                <c:pt idx="52">
                  <c:v>4.8824729630802272E-3</c:v>
                </c:pt>
                <c:pt idx="53">
                  <c:v>4.8730764188445862E-3</c:v>
                </c:pt>
                <c:pt idx="54">
                  <c:v>4.8667898277719411E-3</c:v>
                </c:pt>
                <c:pt idx="55">
                  <c:v>4.863613189862297E-3</c:v>
                </c:pt>
                <c:pt idx="56">
                  <c:v>4.8635465051156323E-3</c:v>
                </c:pt>
                <c:pt idx="57">
                  <c:v>4.8665897735319617E-3</c:v>
                </c:pt>
                <c:pt idx="58">
                  <c:v>4.8727429951112792E-3</c:v>
                </c:pt>
                <c:pt idx="59">
                  <c:v>4.8820061698535977E-3</c:v>
                </c:pt>
                <c:pt idx="60">
                  <c:v>4.8943792977588956E-3</c:v>
                </c:pt>
                <c:pt idx="61">
                  <c:v>4.9098623788271945E-3</c:v>
                </c:pt>
                <c:pt idx="62">
                  <c:v>4.9284554130584746E-3</c:v>
                </c:pt>
                <c:pt idx="63">
                  <c:v>4.9501584004527626E-3</c:v>
                </c:pt>
                <c:pt idx="64">
                  <c:v>4.97497134101003E-3</c:v>
                </c:pt>
                <c:pt idx="65">
                  <c:v>5.0028942347302846E-3</c:v>
                </c:pt>
                <c:pt idx="66">
                  <c:v>5.0339270816135411E-3</c:v>
                </c:pt>
                <c:pt idx="67">
                  <c:v>5.0680698816597831E-3</c:v>
                </c:pt>
                <c:pt idx="68">
                  <c:v>5.1053226348690209E-3</c:v>
                </c:pt>
                <c:pt idx="69">
                  <c:v>5.1456853412412459E-3</c:v>
                </c:pt>
                <c:pt idx="70">
                  <c:v>5.1891580007764641E-3</c:v>
                </c:pt>
                <c:pt idx="71">
                  <c:v>5.2357406134746695E-3</c:v>
                </c:pt>
                <c:pt idx="72">
                  <c:v>5.2854331793358699E-3</c:v>
                </c:pt>
                <c:pt idx="73">
                  <c:v>5.3382356983600644E-3</c:v>
                </c:pt>
                <c:pt idx="74">
                  <c:v>5.3941481705472392E-3</c:v>
                </c:pt>
                <c:pt idx="75">
                  <c:v>5.4531705958974202E-3</c:v>
                </c:pt>
                <c:pt idx="76">
                  <c:v>5.5153029744105832E-3</c:v>
                </c:pt>
                <c:pt idx="77">
                  <c:v>5.5805453060867403E-3</c:v>
                </c:pt>
                <c:pt idx="78">
                  <c:v>5.6488975909258898E-3</c:v>
                </c:pt>
                <c:pt idx="79">
                  <c:v>5.7203598289280351E-3</c:v>
                </c:pt>
                <c:pt idx="80">
                  <c:v>5.7949320200931607E-3</c:v>
                </c:pt>
              </c:numCache>
            </c:numRef>
          </c:val>
          <c:extLst>
            <c:ext xmlns:c16="http://schemas.microsoft.com/office/drawing/2014/chart" uri="{C3380CC4-5D6E-409C-BE32-E72D297353CC}">
              <c16:uniqueId val="{000000BE-B0BD-44B6-BED5-7CDF3E877C37}"/>
            </c:ext>
          </c:extLst>
        </c:ser>
        <c:ser>
          <c:idx val="71"/>
          <c:order val="71"/>
          <c:tx>
            <c:strRef>
              <c:f>Interpolation!$S$74</c:f>
              <c:strCache>
                <c:ptCount val="1"/>
                <c:pt idx="0">
                  <c:v>37.1</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Interpolation!$T$74:$CV$74</c:f>
              <c:numCache>
                <c:formatCode>General</c:formatCode>
                <c:ptCount val="81"/>
                <c:pt idx="0">
                  <c:v>9.6763677671722406E-3</c:v>
                </c:pt>
                <c:pt idx="1">
                  <c:v>9.5051584278783192E-3</c:v>
                </c:pt>
                <c:pt idx="2">
                  <c:v>9.337059041747392E-3</c:v>
                </c:pt>
                <c:pt idx="3">
                  <c:v>9.1720696087794588E-3</c:v>
                </c:pt>
                <c:pt idx="4">
                  <c:v>9.0101901289745198E-3</c:v>
                </c:pt>
                <c:pt idx="5">
                  <c:v>8.8514206023325628E-3</c:v>
                </c:pt>
                <c:pt idx="6">
                  <c:v>8.6957610288535981E-3</c:v>
                </c:pt>
                <c:pt idx="7">
                  <c:v>8.5432114085376137E-3</c:v>
                </c:pt>
                <c:pt idx="8">
                  <c:v>8.3937717413846372E-3</c:v>
                </c:pt>
                <c:pt idx="9">
                  <c:v>8.2474420273946549E-3</c:v>
                </c:pt>
                <c:pt idx="10">
                  <c:v>8.1042222665676528E-3</c:v>
                </c:pt>
                <c:pt idx="11">
                  <c:v>7.9641124589036449E-3</c:v>
                </c:pt>
                <c:pt idx="12">
                  <c:v>7.827112604402631E-3</c:v>
                </c:pt>
                <c:pt idx="13">
                  <c:v>7.6932227030646113E-3</c:v>
                </c:pt>
                <c:pt idx="14">
                  <c:v>7.5624427548895718E-3</c:v>
                </c:pt>
                <c:pt idx="15">
                  <c:v>7.4347727598775334E-3</c:v>
                </c:pt>
                <c:pt idx="16">
                  <c:v>7.3102127180284821E-3</c:v>
                </c:pt>
                <c:pt idx="17">
                  <c:v>7.188762629342418E-3</c:v>
                </c:pt>
                <c:pt idx="18">
                  <c:v>7.070422493819355E-3</c:v>
                </c:pt>
                <c:pt idx="19">
                  <c:v>6.9551923114592792E-3</c:v>
                </c:pt>
                <c:pt idx="20">
                  <c:v>6.8430720822621905E-3</c:v>
                </c:pt>
                <c:pt idx="21">
                  <c:v>6.7340618062281029E-3</c:v>
                </c:pt>
                <c:pt idx="22">
                  <c:v>6.6281614833570025E-3</c:v>
                </c:pt>
                <c:pt idx="23">
                  <c:v>6.5253711136488892E-3</c:v>
                </c:pt>
                <c:pt idx="24">
                  <c:v>6.4256906971037701E-3</c:v>
                </c:pt>
                <c:pt idx="25">
                  <c:v>6.3291202337216381E-3</c:v>
                </c:pt>
                <c:pt idx="26">
                  <c:v>6.2356597235025081E-3</c:v>
                </c:pt>
                <c:pt idx="27">
                  <c:v>6.1453091664463643E-3</c:v>
                </c:pt>
                <c:pt idx="28">
                  <c:v>6.0580685625532069E-3</c:v>
                </c:pt>
                <c:pt idx="29">
                  <c:v>5.9739379118230454E-3</c:v>
                </c:pt>
                <c:pt idx="30">
                  <c:v>5.892917214255877E-3</c:v>
                </c:pt>
                <c:pt idx="31">
                  <c:v>5.8150064698516959E-3</c:v>
                </c:pt>
                <c:pt idx="32">
                  <c:v>5.7402056786105089E-3</c:v>
                </c:pt>
                <c:pt idx="33">
                  <c:v>5.6685148405323091E-3</c:v>
                </c:pt>
                <c:pt idx="34">
                  <c:v>5.5999339556171033E-3</c:v>
                </c:pt>
                <c:pt idx="35">
                  <c:v>5.5344630238648917E-3</c:v>
                </c:pt>
                <c:pt idx="36">
                  <c:v>5.4721020452756673E-3</c:v>
                </c:pt>
                <c:pt idx="37">
                  <c:v>5.412851019849437E-3</c:v>
                </c:pt>
                <c:pt idx="38">
                  <c:v>5.3567099475862016E-3</c:v>
                </c:pt>
                <c:pt idx="39">
                  <c:v>5.3036788284859526E-3</c:v>
                </c:pt>
                <c:pt idx="40">
                  <c:v>5.2537576625486908E-3</c:v>
                </c:pt>
                <c:pt idx="41">
                  <c:v>5.2069464497744231E-3</c:v>
                </c:pt>
                <c:pt idx="42">
                  <c:v>5.1632451901631495E-3</c:v>
                </c:pt>
                <c:pt idx="43">
                  <c:v>5.12265388371487E-3</c:v>
                </c:pt>
                <c:pt idx="44">
                  <c:v>5.0851725304295776E-3</c:v>
                </c:pt>
                <c:pt idx="45">
                  <c:v>5.0508011303072795E-3</c:v>
                </c:pt>
                <c:pt idx="46">
                  <c:v>5.0195396833479684E-3</c:v>
                </c:pt>
                <c:pt idx="47">
                  <c:v>4.9913881895516515E-3</c:v>
                </c:pt>
                <c:pt idx="48">
                  <c:v>4.9663466489183287E-3</c:v>
                </c:pt>
                <c:pt idx="49">
                  <c:v>4.9444150614479931E-3</c:v>
                </c:pt>
                <c:pt idx="50">
                  <c:v>4.9255934271406447E-3</c:v>
                </c:pt>
                <c:pt idx="51">
                  <c:v>4.9098817459962973E-3</c:v>
                </c:pt>
                <c:pt idx="52">
                  <c:v>4.8972800180149371E-3</c:v>
                </c:pt>
                <c:pt idx="53">
                  <c:v>4.8877882431965641E-3</c:v>
                </c:pt>
                <c:pt idx="54">
                  <c:v>4.8814064215411852E-3</c:v>
                </c:pt>
                <c:pt idx="55">
                  <c:v>4.8781345530488083E-3</c:v>
                </c:pt>
                <c:pt idx="56">
                  <c:v>4.8779726377194098E-3</c:v>
                </c:pt>
                <c:pt idx="57">
                  <c:v>4.8809206755530063E-3</c:v>
                </c:pt>
                <c:pt idx="58">
                  <c:v>4.88697866654959E-3</c:v>
                </c:pt>
                <c:pt idx="59">
                  <c:v>4.8961466107091756E-3</c:v>
                </c:pt>
                <c:pt idx="60">
                  <c:v>4.9084245080317406E-3</c:v>
                </c:pt>
                <c:pt idx="61">
                  <c:v>4.9238123585173075E-3</c:v>
                </c:pt>
                <c:pt idx="62">
                  <c:v>4.9423101621658538E-3</c:v>
                </c:pt>
                <c:pt idx="63">
                  <c:v>4.963917918977408E-3</c:v>
                </c:pt>
                <c:pt idx="64">
                  <c:v>4.9886356289519426E-3</c:v>
                </c:pt>
                <c:pt idx="65">
                  <c:v>5.0164632920894634E-3</c:v>
                </c:pt>
                <c:pt idx="66">
                  <c:v>5.0474009083899861E-3</c:v>
                </c:pt>
                <c:pt idx="67">
                  <c:v>5.081448477853496E-3</c:v>
                </c:pt>
                <c:pt idx="68">
                  <c:v>5.118606000480001E-3</c:v>
                </c:pt>
                <c:pt idx="69">
                  <c:v>5.1588734762694922E-3</c:v>
                </c:pt>
                <c:pt idx="70">
                  <c:v>5.2022509052219775E-3</c:v>
                </c:pt>
                <c:pt idx="71">
                  <c:v>5.24873828733745E-3</c:v>
                </c:pt>
                <c:pt idx="72">
                  <c:v>5.2983356226159167E-3</c:v>
                </c:pt>
                <c:pt idx="73">
                  <c:v>5.3510429110573774E-3</c:v>
                </c:pt>
                <c:pt idx="74">
                  <c:v>5.4068601526618184E-3</c:v>
                </c:pt>
                <c:pt idx="75">
                  <c:v>5.4657873474292674E-3</c:v>
                </c:pt>
                <c:pt idx="76">
                  <c:v>5.5278244953596966E-3</c:v>
                </c:pt>
                <c:pt idx="77">
                  <c:v>5.5929715964531199E-3</c:v>
                </c:pt>
                <c:pt idx="78">
                  <c:v>5.6612286507095374E-3</c:v>
                </c:pt>
                <c:pt idx="79">
                  <c:v>5.732595658128949E-3</c:v>
                </c:pt>
                <c:pt idx="80">
                  <c:v>5.8070726187113408E-3</c:v>
                </c:pt>
              </c:numCache>
            </c:numRef>
          </c:val>
          <c:extLst>
            <c:ext xmlns:c16="http://schemas.microsoft.com/office/drawing/2014/chart" uri="{C3380CC4-5D6E-409C-BE32-E72D297353CC}">
              <c16:uniqueId val="{000000BF-B0BD-44B6-BED5-7CDF3E877C37}"/>
            </c:ext>
          </c:extLst>
        </c:ser>
        <c:ser>
          <c:idx val="72"/>
          <c:order val="72"/>
          <c:tx>
            <c:strRef>
              <c:f>Interpolation!$S$75</c:f>
              <c:strCache>
                <c:ptCount val="1"/>
                <c:pt idx="0">
                  <c:v>37.2</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Interpolation!$T$75:$CV$75</c:f>
              <c:numCache>
                <c:formatCode>General</c:formatCode>
                <c:ptCount val="81"/>
                <c:pt idx="0">
                  <c:v>9.6970272661359193E-3</c:v>
                </c:pt>
                <c:pt idx="1">
                  <c:v>9.5257226962592641E-3</c:v>
                </c:pt>
                <c:pt idx="2">
                  <c:v>9.3575280795456031E-3</c:v>
                </c:pt>
                <c:pt idx="3">
                  <c:v>9.1924434159949379E-3</c:v>
                </c:pt>
                <c:pt idx="4">
                  <c:v>9.0304687056072652E-3</c:v>
                </c:pt>
                <c:pt idx="5">
                  <c:v>8.8716039483825726E-3</c:v>
                </c:pt>
                <c:pt idx="6">
                  <c:v>8.7158491443208759E-3</c:v>
                </c:pt>
                <c:pt idx="7">
                  <c:v>8.5632042934221577E-3</c:v>
                </c:pt>
                <c:pt idx="8">
                  <c:v>8.4136693956864475E-3</c:v>
                </c:pt>
                <c:pt idx="9">
                  <c:v>8.2672444511137332E-3</c:v>
                </c:pt>
                <c:pt idx="10">
                  <c:v>8.1239294597039973E-3</c:v>
                </c:pt>
                <c:pt idx="11">
                  <c:v>7.9837244214572556E-3</c:v>
                </c:pt>
                <c:pt idx="12">
                  <c:v>7.8466293363735097E-3</c:v>
                </c:pt>
                <c:pt idx="13">
                  <c:v>7.7126442044527562E-3</c:v>
                </c:pt>
                <c:pt idx="14">
                  <c:v>7.5817690256949838E-3</c:v>
                </c:pt>
                <c:pt idx="15">
                  <c:v>7.4540038001002125E-3</c:v>
                </c:pt>
                <c:pt idx="16">
                  <c:v>7.3293485276684275E-3</c:v>
                </c:pt>
                <c:pt idx="17">
                  <c:v>7.2078032083996305E-3</c:v>
                </c:pt>
                <c:pt idx="18">
                  <c:v>7.0893678422938346E-3</c:v>
                </c:pt>
                <c:pt idx="19">
                  <c:v>6.974042429351025E-3</c:v>
                </c:pt>
                <c:pt idx="20">
                  <c:v>6.8618269695712034E-3</c:v>
                </c:pt>
                <c:pt idx="21">
                  <c:v>6.7527214629543829E-3</c:v>
                </c:pt>
                <c:pt idx="22">
                  <c:v>6.6467259095005487E-3</c:v>
                </c:pt>
                <c:pt idx="23">
                  <c:v>6.5438403092097025E-3</c:v>
                </c:pt>
                <c:pt idx="24">
                  <c:v>6.4440646620818505E-3</c:v>
                </c:pt>
                <c:pt idx="25">
                  <c:v>6.3473989681169856E-3</c:v>
                </c:pt>
                <c:pt idx="26">
                  <c:v>6.253843227315121E-3</c:v>
                </c:pt>
                <c:pt idx="27">
                  <c:v>6.1633974396762443E-3</c:v>
                </c:pt>
                <c:pt idx="28">
                  <c:v>6.076061605200354E-3</c:v>
                </c:pt>
                <c:pt idx="29">
                  <c:v>5.9918357238874587E-3</c:v>
                </c:pt>
                <c:pt idx="30">
                  <c:v>5.9107197957375575E-3</c:v>
                </c:pt>
                <c:pt idx="31">
                  <c:v>5.8327138207506435E-3</c:v>
                </c:pt>
                <c:pt idx="32">
                  <c:v>5.7578177989267235E-3</c:v>
                </c:pt>
                <c:pt idx="33">
                  <c:v>5.6860317302657899E-3</c:v>
                </c:pt>
                <c:pt idx="34">
                  <c:v>5.6173556147678513E-3</c:v>
                </c:pt>
                <c:pt idx="35">
                  <c:v>5.5517894524329068E-3</c:v>
                </c:pt>
                <c:pt idx="36">
                  <c:v>5.4893332432609486E-3</c:v>
                </c:pt>
                <c:pt idx="37">
                  <c:v>5.4299869872519854E-3</c:v>
                </c:pt>
                <c:pt idx="38">
                  <c:v>5.3737506844060163E-3</c:v>
                </c:pt>
                <c:pt idx="39">
                  <c:v>5.3206243347230335E-3</c:v>
                </c:pt>
                <c:pt idx="40">
                  <c:v>5.2706079382030388E-3</c:v>
                </c:pt>
                <c:pt idx="41">
                  <c:v>5.2237014948460381E-3</c:v>
                </c:pt>
                <c:pt idx="42">
                  <c:v>5.1799050046520308E-3</c:v>
                </c:pt>
                <c:pt idx="43">
                  <c:v>5.1392184676210184E-3</c:v>
                </c:pt>
                <c:pt idx="44">
                  <c:v>5.1016418837529932E-3</c:v>
                </c:pt>
                <c:pt idx="45">
                  <c:v>5.0671752530479612E-3</c:v>
                </c:pt>
                <c:pt idx="46">
                  <c:v>5.0358185755059173E-3</c:v>
                </c:pt>
                <c:pt idx="47">
                  <c:v>5.0075718511268675E-3</c:v>
                </c:pt>
                <c:pt idx="48">
                  <c:v>4.9824350799108118E-3</c:v>
                </c:pt>
                <c:pt idx="49">
                  <c:v>4.9604082618577433E-3</c:v>
                </c:pt>
                <c:pt idx="50">
                  <c:v>4.9414913969676611E-3</c:v>
                </c:pt>
                <c:pt idx="51">
                  <c:v>4.9256844852405808E-3</c:v>
                </c:pt>
                <c:pt idx="52">
                  <c:v>4.9129875266764877E-3</c:v>
                </c:pt>
                <c:pt idx="53">
                  <c:v>4.903400521275381E-3</c:v>
                </c:pt>
                <c:pt idx="54">
                  <c:v>4.8969234690372683E-3</c:v>
                </c:pt>
                <c:pt idx="55">
                  <c:v>4.8935563699621584E-3</c:v>
                </c:pt>
                <c:pt idx="56">
                  <c:v>4.8932992240500271E-3</c:v>
                </c:pt>
                <c:pt idx="57">
                  <c:v>4.8961520313008898E-3</c:v>
                </c:pt>
                <c:pt idx="58">
                  <c:v>4.9021147917147415E-3</c:v>
                </c:pt>
                <c:pt idx="59">
                  <c:v>4.9111875052915924E-3</c:v>
                </c:pt>
                <c:pt idx="60">
                  <c:v>4.9233701720314254E-3</c:v>
                </c:pt>
                <c:pt idx="61">
                  <c:v>4.9386627919342577E-3</c:v>
                </c:pt>
                <c:pt idx="62">
                  <c:v>4.9570653650000702E-3</c:v>
                </c:pt>
                <c:pt idx="63">
                  <c:v>4.9785778912288924E-3</c:v>
                </c:pt>
                <c:pt idx="64">
                  <c:v>5.0032003706206932E-3</c:v>
                </c:pt>
                <c:pt idx="65">
                  <c:v>5.0309328031754811E-3</c:v>
                </c:pt>
                <c:pt idx="66">
                  <c:v>5.0617751888932709E-3</c:v>
                </c:pt>
                <c:pt idx="67">
                  <c:v>5.095727527774048E-3</c:v>
                </c:pt>
                <c:pt idx="68">
                  <c:v>5.1327898198178182E-3</c:v>
                </c:pt>
                <c:pt idx="69">
                  <c:v>5.1729620650245766E-3</c:v>
                </c:pt>
                <c:pt idx="70">
                  <c:v>5.216244263394329E-3</c:v>
                </c:pt>
                <c:pt idx="71">
                  <c:v>5.2626364149270678E-3</c:v>
                </c:pt>
                <c:pt idx="72">
                  <c:v>5.3121385196228024E-3</c:v>
                </c:pt>
                <c:pt idx="73">
                  <c:v>5.3647505774815293E-3</c:v>
                </c:pt>
                <c:pt idx="74">
                  <c:v>5.4204725885032383E-3</c:v>
                </c:pt>
                <c:pt idx="75">
                  <c:v>5.4793045526879535E-3</c:v>
                </c:pt>
                <c:pt idx="76">
                  <c:v>5.541246470035649E-3</c:v>
                </c:pt>
                <c:pt idx="77">
                  <c:v>5.6062983405463394E-3</c:v>
                </c:pt>
                <c:pt idx="78">
                  <c:v>5.674460164220024E-3</c:v>
                </c:pt>
                <c:pt idx="79">
                  <c:v>5.7457319410567018E-3</c:v>
                </c:pt>
                <c:pt idx="80">
                  <c:v>5.8201136710563607E-3</c:v>
                </c:pt>
              </c:numCache>
            </c:numRef>
          </c:val>
          <c:extLst>
            <c:ext xmlns:c16="http://schemas.microsoft.com/office/drawing/2014/chart" uri="{C3380CC4-5D6E-409C-BE32-E72D297353CC}">
              <c16:uniqueId val="{000000C0-B0BD-44B6-BED5-7CDF3E877C37}"/>
            </c:ext>
          </c:extLst>
        </c:ser>
        <c:ser>
          <c:idx val="73"/>
          <c:order val="73"/>
          <c:tx>
            <c:strRef>
              <c:f>Interpolation!$S$76</c:f>
              <c:strCache>
                <c:ptCount val="1"/>
                <c:pt idx="0">
                  <c:v>37.3</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Interpolation!$T$76:$CV$76</c:f>
              <c:numCache>
                <c:formatCode>General</c:formatCode>
                <c:ptCount val="81"/>
                <c:pt idx="0">
                  <c:v>9.7185872188263727E-3</c:v>
                </c:pt>
                <c:pt idx="1">
                  <c:v>9.5471874183669838E-3</c:v>
                </c:pt>
                <c:pt idx="2">
                  <c:v>9.3788975710705907E-3</c:v>
                </c:pt>
                <c:pt idx="3">
                  <c:v>9.2137176769371918E-3</c:v>
                </c:pt>
                <c:pt idx="4">
                  <c:v>9.0516477359667852E-3</c:v>
                </c:pt>
                <c:pt idx="5">
                  <c:v>8.8926877481593607E-3</c:v>
                </c:pt>
                <c:pt idx="6">
                  <c:v>8.7368377135149302E-3</c:v>
                </c:pt>
                <c:pt idx="7">
                  <c:v>8.5840976320334782E-3</c:v>
                </c:pt>
                <c:pt idx="8">
                  <c:v>8.434467503715036E-3</c:v>
                </c:pt>
                <c:pt idx="9">
                  <c:v>8.2879473285595879E-3</c:v>
                </c:pt>
                <c:pt idx="10">
                  <c:v>8.1445371065671183E-3</c:v>
                </c:pt>
                <c:pt idx="11">
                  <c:v>8.0042368377376445E-3</c:v>
                </c:pt>
                <c:pt idx="12">
                  <c:v>7.8670465220711649E-3</c:v>
                </c:pt>
                <c:pt idx="13">
                  <c:v>7.7329661595676785E-3</c:v>
                </c:pt>
                <c:pt idx="14">
                  <c:v>7.6019957502271723E-3</c:v>
                </c:pt>
                <c:pt idx="15">
                  <c:v>7.4741352940496681E-3</c:v>
                </c:pt>
                <c:pt idx="16">
                  <c:v>7.3493847910351502E-3</c:v>
                </c:pt>
                <c:pt idx="17">
                  <c:v>7.2277442411836194E-3</c:v>
                </c:pt>
                <c:pt idx="18">
                  <c:v>7.1092136444950898E-3</c:v>
                </c:pt>
                <c:pt idx="19">
                  <c:v>6.9937930009695481E-3</c:v>
                </c:pt>
                <c:pt idx="20">
                  <c:v>6.8814823106069928E-3</c:v>
                </c:pt>
                <c:pt idx="21">
                  <c:v>6.7722815734074394E-3</c:v>
                </c:pt>
                <c:pt idx="22">
                  <c:v>6.6661907893708723E-3</c:v>
                </c:pt>
                <c:pt idx="23">
                  <c:v>6.5632099584972924E-3</c:v>
                </c:pt>
                <c:pt idx="24">
                  <c:v>6.4633390807867066E-3</c:v>
                </c:pt>
                <c:pt idx="25">
                  <c:v>6.3665781562391088E-3</c:v>
                </c:pt>
                <c:pt idx="26">
                  <c:v>6.2729271848545112E-3</c:v>
                </c:pt>
                <c:pt idx="27">
                  <c:v>6.1823861666329017E-3</c:v>
                </c:pt>
                <c:pt idx="28">
                  <c:v>6.0949551015742785E-3</c:v>
                </c:pt>
                <c:pt idx="29">
                  <c:v>6.0106339896786494E-3</c:v>
                </c:pt>
                <c:pt idx="30">
                  <c:v>5.9294228309460153E-3</c:v>
                </c:pt>
                <c:pt idx="31">
                  <c:v>5.8513216253763675E-3</c:v>
                </c:pt>
                <c:pt idx="32">
                  <c:v>5.7763303729697138E-3</c:v>
                </c:pt>
                <c:pt idx="33">
                  <c:v>5.7044490737260482E-3</c:v>
                </c:pt>
                <c:pt idx="34">
                  <c:v>5.6356777276453758E-3</c:v>
                </c:pt>
                <c:pt idx="35">
                  <c:v>5.5700163347276975E-3</c:v>
                </c:pt>
                <c:pt idx="36">
                  <c:v>5.5074648949730073E-3</c:v>
                </c:pt>
                <c:pt idx="37">
                  <c:v>5.4480234083813103E-3</c:v>
                </c:pt>
                <c:pt idx="38">
                  <c:v>5.3916918749526074E-3</c:v>
                </c:pt>
                <c:pt idx="39">
                  <c:v>5.3384702946868926E-3</c:v>
                </c:pt>
                <c:pt idx="40">
                  <c:v>5.2883586675841641E-3</c:v>
                </c:pt>
                <c:pt idx="41">
                  <c:v>5.2413569936444297E-3</c:v>
                </c:pt>
                <c:pt idx="42">
                  <c:v>5.1974652728676903E-3</c:v>
                </c:pt>
                <c:pt idx="43">
                  <c:v>5.1566835052539442E-3</c:v>
                </c:pt>
                <c:pt idx="44">
                  <c:v>5.1190116908031852E-3</c:v>
                </c:pt>
                <c:pt idx="45">
                  <c:v>5.0844498295154212E-3</c:v>
                </c:pt>
                <c:pt idx="46">
                  <c:v>5.0529979213906426E-3</c:v>
                </c:pt>
                <c:pt idx="47">
                  <c:v>5.0246559664288599E-3</c:v>
                </c:pt>
                <c:pt idx="48">
                  <c:v>4.9994239646300714E-3</c:v>
                </c:pt>
                <c:pt idx="49">
                  <c:v>4.9773019159942691E-3</c:v>
                </c:pt>
                <c:pt idx="50">
                  <c:v>4.958289820521454E-3</c:v>
                </c:pt>
                <c:pt idx="51">
                  <c:v>4.9423876782116408E-3</c:v>
                </c:pt>
                <c:pt idx="52">
                  <c:v>4.929595489064814E-3</c:v>
                </c:pt>
                <c:pt idx="53">
                  <c:v>4.9199132530809743E-3</c:v>
                </c:pt>
                <c:pt idx="54">
                  <c:v>4.9133409702601296E-3</c:v>
                </c:pt>
                <c:pt idx="55">
                  <c:v>4.9098786406022851E-3</c:v>
                </c:pt>
                <c:pt idx="56">
                  <c:v>4.9095262641074208E-3</c:v>
                </c:pt>
                <c:pt idx="57">
                  <c:v>4.9122838407755515E-3</c:v>
                </c:pt>
                <c:pt idx="58">
                  <c:v>4.9181513706066677E-3</c:v>
                </c:pt>
                <c:pt idx="59">
                  <c:v>4.9271288536007866E-3</c:v>
                </c:pt>
                <c:pt idx="60">
                  <c:v>4.9392162897578858E-3</c:v>
                </c:pt>
                <c:pt idx="61">
                  <c:v>4.9544136790779861E-3</c:v>
                </c:pt>
                <c:pt idx="62">
                  <c:v>4.9727210215610648E-3</c:v>
                </c:pt>
                <c:pt idx="63">
                  <c:v>4.9941383172071533E-3</c:v>
                </c:pt>
                <c:pt idx="64">
                  <c:v>5.018665566016222E-3</c:v>
                </c:pt>
                <c:pt idx="65">
                  <c:v>5.0463027679882762E-3</c:v>
                </c:pt>
                <c:pt idx="66">
                  <c:v>5.0770499231233331E-3</c:v>
                </c:pt>
                <c:pt idx="67">
                  <c:v>5.1109070314213764E-3</c:v>
                </c:pt>
                <c:pt idx="68">
                  <c:v>5.1478740928824138E-3</c:v>
                </c:pt>
                <c:pt idx="69">
                  <c:v>5.1879511075064392E-3</c:v>
                </c:pt>
                <c:pt idx="70">
                  <c:v>5.2311380752934579E-3</c:v>
                </c:pt>
                <c:pt idx="71">
                  <c:v>5.2774349962434637E-3</c:v>
                </c:pt>
                <c:pt idx="72">
                  <c:v>5.3268418703564645E-3</c:v>
                </c:pt>
                <c:pt idx="73">
                  <c:v>5.3793586976324595E-3</c:v>
                </c:pt>
                <c:pt idx="74">
                  <c:v>5.4349854780714338E-3</c:v>
                </c:pt>
                <c:pt idx="75">
                  <c:v>5.4937222116734161E-3</c:v>
                </c:pt>
                <c:pt idx="76">
                  <c:v>5.5555688984383787E-3</c:v>
                </c:pt>
                <c:pt idx="77">
                  <c:v>5.6205255383663354E-3</c:v>
                </c:pt>
                <c:pt idx="78">
                  <c:v>5.688592131457287E-3</c:v>
                </c:pt>
                <c:pt idx="79">
                  <c:v>5.7597686777112319E-3</c:v>
                </c:pt>
                <c:pt idx="80">
                  <c:v>5.8340551771281571E-3</c:v>
                </c:pt>
              </c:numCache>
            </c:numRef>
          </c:val>
          <c:extLst>
            <c:ext xmlns:c16="http://schemas.microsoft.com/office/drawing/2014/chart" uri="{C3380CC4-5D6E-409C-BE32-E72D297353CC}">
              <c16:uniqueId val="{000000C1-B0BD-44B6-BED5-7CDF3E877C37}"/>
            </c:ext>
          </c:extLst>
        </c:ser>
        <c:ser>
          <c:idx val="74"/>
          <c:order val="74"/>
          <c:tx>
            <c:strRef>
              <c:f>Interpolation!$S$77</c:f>
              <c:strCache>
                <c:ptCount val="1"/>
                <c:pt idx="0">
                  <c:v>37.4</c:v>
                </c:pt>
              </c:strCache>
            </c:strRef>
          </c:tx>
          <c:spPr>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Interpolation!$T$77:$CV$77</c:f>
              <c:numCache>
                <c:formatCode>General</c:formatCode>
                <c:ptCount val="81"/>
                <c:pt idx="0">
                  <c:v>9.7410476252436651E-3</c:v>
                </c:pt>
                <c:pt idx="1">
                  <c:v>9.5695525942015441E-3</c:v>
                </c:pt>
                <c:pt idx="2">
                  <c:v>9.4011675163224173E-3</c:v>
                </c:pt>
                <c:pt idx="3">
                  <c:v>9.2358923916062846E-3</c:v>
                </c:pt>
                <c:pt idx="4">
                  <c:v>9.073727220053146E-3</c:v>
                </c:pt>
                <c:pt idx="5">
                  <c:v>8.9146720016629877E-3</c:v>
                </c:pt>
                <c:pt idx="6">
                  <c:v>8.7587267364358234E-3</c:v>
                </c:pt>
                <c:pt idx="7">
                  <c:v>8.6058914243716395E-3</c:v>
                </c:pt>
                <c:pt idx="8">
                  <c:v>8.4561660654704635E-3</c:v>
                </c:pt>
                <c:pt idx="9">
                  <c:v>8.3095506597322816E-3</c:v>
                </c:pt>
                <c:pt idx="10">
                  <c:v>8.1660452071570799E-3</c:v>
                </c:pt>
                <c:pt idx="11">
                  <c:v>8.0256497077448724E-3</c:v>
                </c:pt>
                <c:pt idx="12">
                  <c:v>7.888364161495659E-3</c:v>
                </c:pt>
                <c:pt idx="13">
                  <c:v>7.7541885684094388E-3</c:v>
                </c:pt>
                <c:pt idx="14">
                  <c:v>7.6231229284861998E-3</c:v>
                </c:pt>
                <c:pt idx="15">
                  <c:v>7.4951672417259618E-3</c:v>
                </c:pt>
                <c:pt idx="16">
                  <c:v>7.370321508128711E-3</c:v>
                </c:pt>
                <c:pt idx="17">
                  <c:v>7.2485857276944473E-3</c:v>
                </c:pt>
                <c:pt idx="18">
                  <c:v>7.1299599004231847E-3</c:v>
                </c:pt>
                <c:pt idx="19">
                  <c:v>7.0144440263149093E-3</c:v>
                </c:pt>
                <c:pt idx="20">
                  <c:v>6.9020381053696211E-3</c:v>
                </c:pt>
                <c:pt idx="21">
                  <c:v>6.7927421375873339E-3</c:v>
                </c:pt>
                <c:pt idx="22">
                  <c:v>6.6865561229680339E-3</c:v>
                </c:pt>
                <c:pt idx="23">
                  <c:v>6.5834800615117211E-3</c:v>
                </c:pt>
                <c:pt idx="24">
                  <c:v>6.4835139532184024E-3</c:v>
                </c:pt>
                <c:pt idx="25">
                  <c:v>6.3866577980880709E-3</c:v>
                </c:pt>
                <c:pt idx="26">
                  <c:v>6.2929115961207404E-3</c:v>
                </c:pt>
                <c:pt idx="27">
                  <c:v>6.2022753473163971E-3</c:v>
                </c:pt>
                <c:pt idx="28">
                  <c:v>6.114749051675041E-3</c:v>
                </c:pt>
                <c:pt idx="29">
                  <c:v>6.030332709196679E-3</c:v>
                </c:pt>
                <c:pt idx="30">
                  <c:v>5.9490263198813103E-3</c:v>
                </c:pt>
                <c:pt idx="31">
                  <c:v>5.8708298837289305E-3</c:v>
                </c:pt>
                <c:pt idx="32">
                  <c:v>5.7957434007395439E-3</c:v>
                </c:pt>
                <c:pt idx="33">
                  <c:v>5.7237668709131436E-3</c:v>
                </c:pt>
                <c:pt idx="34">
                  <c:v>5.6549002942497383E-3</c:v>
                </c:pt>
                <c:pt idx="35">
                  <c:v>5.5891436707493272E-3</c:v>
                </c:pt>
                <c:pt idx="36">
                  <c:v>5.5264970004119032E-3</c:v>
                </c:pt>
                <c:pt idx="37">
                  <c:v>5.4669602832374733E-3</c:v>
                </c:pt>
                <c:pt idx="38">
                  <c:v>5.4105335192260375E-3</c:v>
                </c:pt>
                <c:pt idx="39">
                  <c:v>5.3572167083775889E-3</c:v>
                </c:pt>
                <c:pt idx="40">
                  <c:v>5.3070098506921275E-3</c:v>
                </c:pt>
                <c:pt idx="41">
                  <c:v>5.2599129461696602E-3</c:v>
                </c:pt>
                <c:pt idx="42">
                  <c:v>5.2159259948101871E-3</c:v>
                </c:pt>
                <c:pt idx="43">
                  <c:v>5.175048996613708E-3</c:v>
                </c:pt>
                <c:pt idx="44">
                  <c:v>5.1372819515802162E-3</c:v>
                </c:pt>
                <c:pt idx="45">
                  <c:v>5.1026248597097184E-3</c:v>
                </c:pt>
                <c:pt idx="46">
                  <c:v>5.0710777210022078E-3</c:v>
                </c:pt>
                <c:pt idx="47">
                  <c:v>5.0426405354576914E-3</c:v>
                </c:pt>
                <c:pt idx="48">
                  <c:v>5.017313303076169E-3</c:v>
                </c:pt>
                <c:pt idx="49">
                  <c:v>4.9950960238576338E-3</c:v>
                </c:pt>
                <c:pt idx="50">
                  <c:v>4.9759886978020858E-3</c:v>
                </c:pt>
                <c:pt idx="51">
                  <c:v>4.9599913249095389E-3</c:v>
                </c:pt>
                <c:pt idx="52">
                  <c:v>4.9471039051799792E-3</c:v>
                </c:pt>
                <c:pt idx="53">
                  <c:v>4.9373264386134066E-3</c:v>
                </c:pt>
                <c:pt idx="54">
                  <c:v>4.9306589252098281E-3</c:v>
                </c:pt>
                <c:pt idx="55">
                  <c:v>4.9271013649692507E-3</c:v>
                </c:pt>
                <c:pt idx="56">
                  <c:v>4.9266537578916535E-3</c:v>
                </c:pt>
                <c:pt idx="57">
                  <c:v>4.9293161039770505E-3</c:v>
                </c:pt>
                <c:pt idx="58">
                  <c:v>4.9350884032254346E-3</c:v>
                </c:pt>
                <c:pt idx="59">
                  <c:v>4.9439706556368198E-3</c:v>
                </c:pt>
                <c:pt idx="60">
                  <c:v>4.9559628612111852E-3</c:v>
                </c:pt>
                <c:pt idx="61">
                  <c:v>4.9710650199485517E-3</c:v>
                </c:pt>
                <c:pt idx="62">
                  <c:v>4.9892771318488984E-3</c:v>
                </c:pt>
                <c:pt idx="63">
                  <c:v>5.0105991969122531E-3</c:v>
                </c:pt>
                <c:pt idx="64">
                  <c:v>5.0350312151385881E-3</c:v>
                </c:pt>
                <c:pt idx="65">
                  <c:v>5.0625731865279102E-3</c:v>
                </c:pt>
                <c:pt idx="66">
                  <c:v>5.0932251110802334E-3</c:v>
                </c:pt>
                <c:pt idx="67">
                  <c:v>5.1269869887955438E-3</c:v>
                </c:pt>
                <c:pt idx="68">
                  <c:v>5.1638588196738482E-3</c:v>
                </c:pt>
                <c:pt idx="69">
                  <c:v>5.203840603715139E-3</c:v>
                </c:pt>
                <c:pt idx="70">
                  <c:v>5.2469323409194248E-3</c:v>
                </c:pt>
                <c:pt idx="71">
                  <c:v>5.2931340312866977E-3</c:v>
                </c:pt>
                <c:pt idx="72">
                  <c:v>5.3424456748169657E-3</c:v>
                </c:pt>
                <c:pt idx="73">
                  <c:v>5.3948672715102269E-3</c:v>
                </c:pt>
                <c:pt idx="74">
                  <c:v>5.4503988213664683E-3</c:v>
                </c:pt>
                <c:pt idx="75">
                  <c:v>5.5090403243857168E-3</c:v>
                </c:pt>
                <c:pt idx="76">
                  <c:v>5.5707917805679465E-3</c:v>
                </c:pt>
                <c:pt idx="77">
                  <c:v>5.6356531899131703E-3</c:v>
                </c:pt>
                <c:pt idx="78">
                  <c:v>5.7036245524213882E-3</c:v>
                </c:pt>
                <c:pt idx="79">
                  <c:v>5.7747058680926002E-3</c:v>
                </c:pt>
                <c:pt idx="80">
                  <c:v>5.8488971369267924E-3</c:v>
                </c:pt>
              </c:numCache>
            </c:numRef>
          </c:val>
          <c:extLst>
            <c:ext xmlns:c16="http://schemas.microsoft.com/office/drawing/2014/chart" uri="{C3380CC4-5D6E-409C-BE32-E72D297353CC}">
              <c16:uniqueId val="{000000C2-B0BD-44B6-BED5-7CDF3E877C37}"/>
            </c:ext>
          </c:extLst>
        </c:ser>
        <c:bandFmts>
          <c:bandFmt>
            <c:idx val="0"/>
            <c:spPr>
              <a:solidFill>
                <a:schemeClr val="accent1"/>
              </a:solidFill>
              <a:ln/>
              <a:effectLst/>
              <a:sp3d/>
            </c:spPr>
          </c:bandFmt>
          <c:bandFmt>
            <c:idx val="1"/>
            <c:spPr>
              <a:solidFill>
                <a:schemeClr val="accent2"/>
              </a:solidFill>
              <a:ln/>
              <a:effectLst/>
              <a:sp3d/>
            </c:spPr>
          </c:bandFmt>
          <c:bandFmt>
            <c:idx val="2"/>
            <c:spPr>
              <a:solidFill>
                <a:schemeClr val="accent3"/>
              </a:solidFill>
              <a:ln/>
              <a:effectLst/>
              <a:sp3d/>
            </c:spPr>
          </c:bandFmt>
          <c:bandFmt>
            <c:idx val="3"/>
            <c:spPr>
              <a:solidFill>
                <a:schemeClr val="accent4"/>
              </a:solidFill>
              <a:ln/>
              <a:effectLst/>
              <a:sp3d/>
            </c:spPr>
          </c:bandFmt>
          <c:bandFmt>
            <c:idx val="4"/>
            <c:spPr>
              <a:solidFill>
                <a:schemeClr val="accent5"/>
              </a:solidFill>
              <a:ln/>
              <a:effectLst/>
              <a:sp3d/>
            </c:spPr>
          </c:bandFmt>
          <c:bandFmt>
            <c:idx val="5"/>
            <c:spPr>
              <a:solidFill>
                <a:schemeClr val="accent6"/>
              </a:solidFill>
              <a:ln/>
              <a:effectLst/>
              <a:sp3d/>
            </c:spPr>
          </c:bandFmt>
          <c:bandFmt>
            <c:idx val="6"/>
            <c:spPr>
              <a:solidFill>
                <a:schemeClr val="accent1">
                  <a:lumMod val="60000"/>
                </a:schemeClr>
              </a:solidFill>
              <a:ln/>
              <a:effectLst/>
              <a:sp3d/>
            </c:spPr>
          </c:bandFmt>
          <c:bandFmt>
            <c:idx val="7"/>
            <c:spPr>
              <a:solidFill>
                <a:schemeClr val="accent2">
                  <a:lumMod val="60000"/>
                </a:schemeClr>
              </a:solidFill>
              <a:ln/>
              <a:effectLst/>
              <a:sp3d/>
            </c:spPr>
          </c:bandFmt>
          <c:bandFmt>
            <c:idx val="8"/>
            <c:spPr>
              <a:solidFill>
                <a:schemeClr val="accent3">
                  <a:lumMod val="60000"/>
                </a:schemeClr>
              </a:solidFill>
              <a:ln/>
              <a:effectLst/>
              <a:sp3d/>
            </c:spPr>
          </c:bandFmt>
          <c:bandFmt>
            <c:idx val="9"/>
            <c:spPr>
              <a:solidFill>
                <a:schemeClr val="accent4">
                  <a:lumMod val="60000"/>
                </a:schemeClr>
              </a:solidFill>
              <a:ln/>
              <a:effectLst/>
              <a:sp3d/>
            </c:spPr>
          </c:bandFmt>
          <c:bandFmt>
            <c:idx val="10"/>
            <c:spPr>
              <a:solidFill>
                <a:schemeClr val="accent5">
                  <a:lumMod val="60000"/>
                </a:schemeClr>
              </a:solidFill>
              <a:ln/>
              <a:effectLst/>
              <a:sp3d/>
            </c:spPr>
          </c:bandFmt>
          <c:bandFmt>
            <c:idx val="11"/>
            <c:spPr>
              <a:solidFill>
                <a:schemeClr val="accent6">
                  <a:lumMod val="60000"/>
                </a:schemeClr>
              </a:solidFill>
              <a:ln/>
              <a:effectLst/>
              <a:sp3d/>
            </c:spPr>
          </c:bandFmt>
          <c:bandFmt>
            <c:idx val="12"/>
            <c:spPr>
              <a:solidFill>
                <a:schemeClr val="accent1">
                  <a:lumMod val="80000"/>
                  <a:lumOff val="20000"/>
                </a:schemeClr>
              </a:solidFill>
              <a:ln/>
              <a:effectLst/>
              <a:sp3d/>
            </c:spPr>
          </c:bandFmt>
          <c:bandFmt>
            <c:idx val="13"/>
            <c:spPr>
              <a:solidFill>
                <a:schemeClr val="accent2">
                  <a:lumMod val="80000"/>
                  <a:lumOff val="20000"/>
                </a:schemeClr>
              </a:solidFill>
              <a:ln/>
              <a:effectLst/>
              <a:sp3d/>
            </c:spPr>
          </c:bandFmt>
          <c:bandFmt>
            <c:idx val="14"/>
            <c:spPr>
              <a:solidFill>
                <a:schemeClr val="accent3">
                  <a:lumMod val="80000"/>
                  <a:lumOff val="20000"/>
                </a:schemeClr>
              </a:solidFill>
              <a:ln/>
              <a:effectLst/>
              <a:sp3d/>
            </c:spPr>
          </c:bandFmt>
        </c:bandFmts>
        <c:axId val="1576365439"/>
        <c:axId val="1576365919"/>
        <c:axId val="1675763839"/>
      </c:surface3DChart>
      <c:catAx>
        <c:axId val="15763654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SOC</a:t>
                </a:r>
              </a:p>
            </c:rich>
          </c:tx>
          <c:overlay val="0"/>
          <c:spPr>
            <a:noFill/>
            <a:ln>
              <a:noFill/>
            </a:ln>
            <a:effectLst/>
          </c:sp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365919"/>
        <c:crosses val="autoZero"/>
        <c:auto val="1"/>
        <c:lblAlgn val="ctr"/>
        <c:lblOffset val="100"/>
        <c:noMultiLvlLbl val="0"/>
      </c:catAx>
      <c:valAx>
        <c:axId val="1576365919"/>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DCIR</a:t>
                </a:r>
              </a:p>
            </c:rich>
          </c:tx>
          <c:overlay val="0"/>
          <c:spPr>
            <a:noFill/>
            <a:ln>
              <a:noFill/>
            </a:ln>
            <a:effectLst/>
          </c:spPr>
        </c:title>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365439"/>
        <c:crosses val="autoZero"/>
        <c:crossBetween val="midCat"/>
      </c:valAx>
      <c:serAx>
        <c:axId val="1675763839"/>
        <c:scaling>
          <c:orientation val="minMax"/>
        </c:scaling>
        <c:delete val="0"/>
        <c:axPos val="b"/>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Temp (C)</a:t>
                </a:r>
              </a:p>
            </c:rich>
          </c:tx>
          <c:overlay val="0"/>
          <c:spPr>
            <a:noFill/>
            <a:ln>
              <a:noFill/>
            </a:ln>
            <a:effectLst/>
          </c:spPr>
        </c:title>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365919"/>
        <c:crosses val="autoZero"/>
      </c:serAx>
      <c:spPr>
        <a:noFill/>
        <a:ln>
          <a:noFill/>
        </a:ln>
        <a:effectLst/>
      </c:spPr>
    </c:plotArea>
    <c:plotVisOnly val="1"/>
    <c:dispBlanksAs val="zero"/>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21528485409912"/>
          <c:y val="0.16708335226856202"/>
          <c:w val="0.81211507385106274"/>
          <c:h val="0.72125801983085447"/>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'Entropic Heat &amp; VOC'!$A$3:$A$6</c:f>
              <c:numCache>
                <c:formatCode>General</c:formatCode>
                <c:ptCount val="4"/>
                <c:pt idx="0">
                  <c:v>303.14999999999998</c:v>
                </c:pt>
                <c:pt idx="1">
                  <c:v>305.64999999999998</c:v>
                </c:pt>
                <c:pt idx="2">
                  <c:v>308.14999999999998</c:v>
                </c:pt>
                <c:pt idx="3">
                  <c:v>311.14999999999998</c:v>
                </c:pt>
              </c:numCache>
            </c:numRef>
          </c:xVal>
          <c:yVal>
            <c:numRef>
              <c:f>'Entropic Heat &amp; VOC'!$C$3:$C$6</c:f>
              <c:numCache>
                <c:formatCode>General</c:formatCode>
                <c:ptCount val="4"/>
                <c:pt idx="0">
                  <c:v>3.0263</c:v>
                </c:pt>
                <c:pt idx="1">
                  <c:v>3.0375999999999999</c:v>
                </c:pt>
                <c:pt idx="2">
                  <c:v>3.0438999999999998</c:v>
                </c:pt>
                <c:pt idx="3">
                  <c:v>3.0283000000000002</c:v>
                </c:pt>
              </c:numCache>
            </c:numRef>
          </c:yVal>
          <c:smooth val="0"/>
          <c:extLst>
            <c:ext xmlns:c16="http://schemas.microsoft.com/office/drawing/2014/chart" uri="{C3380CC4-5D6E-409C-BE32-E72D297353CC}">
              <c16:uniqueId val="{00000000-1602-4D8C-9983-34DEFDD8BF12}"/>
            </c:ext>
          </c:extLst>
        </c:ser>
        <c:ser>
          <c:idx val="1"/>
          <c:order val="1"/>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ly"/>
            <c:order val="2"/>
            <c:dispRSqr val="1"/>
            <c:dispEq val="1"/>
            <c:trendlineLbl>
              <c:layout>
                <c:manualLayout>
                  <c:x val="-3.8650918635170603E-2"/>
                  <c:y val="-0.1513163458734324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'Entropic Heat &amp; VOC'!$A$3:$A$6</c:f>
              <c:numCache>
                <c:formatCode>General</c:formatCode>
                <c:ptCount val="4"/>
                <c:pt idx="0">
                  <c:v>303.14999999999998</c:v>
                </c:pt>
                <c:pt idx="1">
                  <c:v>305.64999999999998</c:v>
                </c:pt>
                <c:pt idx="2">
                  <c:v>308.14999999999998</c:v>
                </c:pt>
                <c:pt idx="3">
                  <c:v>311.14999999999998</c:v>
                </c:pt>
              </c:numCache>
            </c:numRef>
          </c:xVal>
          <c:yVal>
            <c:numRef>
              <c:f>'Entropic Heat &amp; VOC'!$D$3:$D$6</c:f>
              <c:numCache>
                <c:formatCode>General</c:formatCode>
                <c:ptCount val="4"/>
                <c:pt idx="0">
                  <c:v>3.2180333331415998</c:v>
                </c:pt>
                <c:pt idx="1">
                  <c:v>3.2247999998128001</c:v>
                </c:pt>
                <c:pt idx="2">
                  <c:v>3.2276333331495999</c:v>
                </c:pt>
                <c:pt idx="3">
                  <c:v>3.2179888886992001</c:v>
                </c:pt>
              </c:numCache>
            </c:numRef>
          </c:yVal>
          <c:smooth val="0"/>
          <c:extLst>
            <c:ext xmlns:c16="http://schemas.microsoft.com/office/drawing/2014/chart" uri="{C3380CC4-5D6E-409C-BE32-E72D297353CC}">
              <c16:uniqueId val="{00000001-1602-4D8C-9983-34DEFDD8BF12}"/>
            </c:ext>
          </c:extLst>
        </c:ser>
        <c:ser>
          <c:idx val="2"/>
          <c:order val="2"/>
          <c:spPr>
            <a:ln w="25400" cap="rnd">
              <a:noFill/>
              <a:round/>
            </a:ln>
            <a:effectLst/>
          </c:spPr>
          <c:marker>
            <c:symbol val="circle"/>
            <c:size val="5"/>
            <c:spPr>
              <a:solidFill>
                <a:schemeClr val="accent3"/>
              </a:solidFill>
              <a:ln w="9525">
                <a:solidFill>
                  <a:schemeClr val="accent3"/>
                </a:solidFill>
              </a:ln>
              <a:effectLst/>
            </c:spPr>
          </c:marker>
          <c:xVal>
            <c:numRef>
              <c:f>'Entropic Heat &amp; VOC'!$A$3:$A$6</c:f>
              <c:numCache>
                <c:formatCode>General</c:formatCode>
                <c:ptCount val="4"/>
                <c:pt idx="0">
                  <c:v>303.14999999999998</c:v>
                </c:pt>
                <c:pt idx="1">
                  <c:v>305.64999999999998</c:v>
                </c:pt>
                <c:pt idx="2">
                  <c:v>308.14999999999998</c:v>
                </c:pt>
                <c:pt idx="3">
                  <c:v>311.14999999999998</c:v>
                </c:pt>
              </c:numCache>
            </c:numRef>
          </c:xVal>
          <c:yVal>
            <c:numRef>
              <c:f>'Entropic Heat &amp; VOC'!$E$3:$E$6</c:f>
              <c:numCache>
                <c:formatCode>General</c:formatCode>
                <c:ptCount val="4"/>
                <c:pt idx="0">
                  <c:v>3.364888888766</c:v>
                </c:pt>
                <c:pt idx="1">
                  <c:v>3.3703111109889998</c:v>
                </c:pt>
                <c:pt idx="2">
                  <c:v>3.3730999998775002</c:v>
                </c:pt>
                <c:pt idx="3">
                  <c:v>3.3645888887659998</c:v>
                </c:pt>
              </c:numCache>
            </c:numRef>
          </c:yVal>
          <c:smooth val="0"/>
          <c:extLst>
            <c:ext xmlns:c16="http://schemas.microsoft.com/office/drawing/2014/chart" uri="{C3380CC4-5D6E-409C-BE32-E72D297353CC}">
              <c16:uniqueId val="{00000002-1602-4D8C-9983-34DEFDD8BF12}"/>
            </c:ext>
          </c:extLst>
        </c:ser>
        <c:ser>
          <c:idx val="3"/>
          <c:order val="3"/>
          <c:spPr>
            <a:ln w="25400" cap="rnd">
              <a:noFill/>
              <a:round/>
            </a:ln>
            <a:effectLst/>
          </c:spPr>
          <c:marker>
            <c:symbol val="circle"/>
            <c:size val="5"/>
            <c:spPr>
              <a:solidFill>
                <a:schemeClr val="accent4"/>
              </a:solidFill>
              <a:ln w="9525">
                <a:solidFill>
                  <a:schemeClr val="accent4"/>
                </a:solidFill>
              </a:ln>
              <a:effectLst/>
            </c:spPr>
          </c:marker>
          <c:xVal>
            <c:numRef>
              <c:f>'Entropic Heat &amp; VOC'!$A$3:$A$6</c:f>
              <c:numCache>
                <c:formatCode>General</c:formatCode>
                <c:ptCount val="4"/>
                <c:pt idx="0">
                  <c:v>303.14999999999998</c:v>
                </c:pt>
                <c:pt idx="1">
                  <c:v>305.64999999999998</c:v>
                </c:pt>
                <c:pt idx="2">
                  <c:v>308.14999999999998</c:v>
                </c:pt>
                <c:pt idx="3">
                  <c:v>311.14999999999998</c:v>
                </c:pt>
              </c:numCache>
            </c:numRef>
          </c:xVal>
          <c:yVal>
            <c:numRef>
              <c:f>'Entropic Heat &amp; VOC'!$F$3:$F$6</c:f>
              <c:numCache>
                <c:formatCode>General</c:formatCode>
                <c:ptCount val="4"/>
                <c:pt idx="0">
                  <c:v>3.4939333332393998</c:v>
                </c:pt>
                <c:pt idx="1">
                  <c:v>3.4985333332400002</c:v>
                </c:pt>
                <c:pt idx="2">
                  <c:v>3.5006999999074</c:v>
                </c:pt>
                <c:pt idx="3">
                  <c:v>3.4937666665726002</c:v>
                </c:pt>
              </c:numCache>
            </c:numRef>
          </c:yVal>
          <c:smooth val="0"/>
          <c:extLst>
            <c:ext xmlns:c16="http://schemas.microsoft.com/office/drawing/2014/chart" uri="{C3380CC4-5D6E-409C-BE32-E72D297353CC}">
              <c16:uniqueId val="{00000003-1602-4D8C-9983-34DEFDD8BF12}"/>
            </c:ext>
          </c:extLst>
        </c:ser>
        <c:dLbls>
          <c:showLegendKey val="0"/>
          <c:showVal val="0"/>
          <c:showCatName val="0"/>
          <c:showSerName val="0"/>
          <c:showPercent val="0"/>
          <c:showBubbleSize val="0"/>
        </c:dLbls>
        <c:axId val="83089936"/>
        <c:axId val="83091376"/>
      </c:scatterChart>
      <c:valAx>
        <c:axId val="83089936"/>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91376"/>
        <c:crosses val="autoZero"/>
        <c:crossBetween val="midCat"/>
      </c:valAx>
      <c:valAx>
        <c:axId val="83091376"/>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8993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surface3DChart>
        <c:wireframe val="0"/>
        <c:ser>
          <c:idx val="0"/>
          <c:order val="0"/>
          <c:tx>
            <c:strRef>
              <c:f>Interpolation!$S$3</c:f>
              <c:strCache>
                <c:ptCount val="1"/>
                <c:pt idx="0">
                  <c:v>30</c:v>
                </c:pt>
              </c:strCache>
            </c:strRef>
          </c:tx>
          <c:spPr>
            <a:solidFill>
              <a:schemeClr val="accent1"/>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Interpolation!$T$3:$CV$3</c:f>
              <c:numCache>
                <c:formatCode>General</c:formatCode>
                <c:ptCount val="81"/>
                <c:pt idx="0">
                  <c:v>1.0511103066498132E-2</c:v>
                </c:pt>
                <c:pt idx="1">
                  <c:v>1.034665509857827E-2</c:v>
                </c:pt>
                <c:pt idx="2">
                  <c:v>1.01853170838214E-2</c:v>
                </c:pt>
                <c:pt idx="3">
                  <c:v>1.0027089022227527E-2</c:v>
                </c:pt>
                <c:pt idx="4">
                  <c:v>9.8719709137966467E-3</c:v>
                </c:pt>
                <c:pt idx="5">
                  <c:v>9.7199627585287454E-3</c:v>
                </c:pt>
                <c:pt idx="6">
                  <c:v>9.57106455642384E-3</c:v>
                </c:pt>
                <c:pt idx="7">
                  <c:v>9.4252763074819147E-3</c:v>
                </c:pt>
                <c:pt idx="8">
                  <c:v>9.2825980117029958E-3</c:v>
                </c:pt>
                <c:pt idx="9">
                  <c:v>9.1430296690870726E-3</c:v>
                </c:pt>
                <c:pt idx="10">
                  <c:v>9.0065712796341298E-3</c:v>
                </c:pt>
                <c:pt idx="11">
                  <c:v>8.8732228433441793E-3</c:v>
                </c:pt>
                <c:pt idx="12">
                  <c:v>8.7429843602172246E-3</c:v>
                </c:pt>
                <c:pt idx="13">
                  <c:v>8.6158558302532641E-3</c:v>
                </c:pt>
                <c:pt idx="14">
                  <c:v>8.4918372534522821E-3</c:v>
                </c:pt>
                <c:pt idx="15">
                  <c:v>8.3709286298143028E-3</c:v>
                </c:pt>
                <c:pt idx="16">
                  <c:v>8.2531299593393108E-3</c:v>
                </c:pt>
                <c:pt idx="17">
                  <c:v>8.1384412420273042E-3</c:v>
                </c:pt>
                <c:pt idx="18">
                  <c:v>8.0268624778783004E-3</c:v>
                </c:pt>
                <c:pt idx="19">
                  <c:v>7.9183936668922837E-3</c:v>
                </c:pt>
                <c:pt idx="20">
                  <c:v>7.8130348090692525E-3</c:v>
                </c:pt>
                <c:pt idx="21">
                  <c:v>7.7107859044092241E-3</c:v>
                </c:pt>
                <c:pt idx="22">
                  <c:v>7.6116469529121829E-3</c:v>
                </c:pt>
                <c:pt idx="23">
                  <c:v>7.515617954578128E-3</c:v>
                </c:pt>
                <c:pt idx="24">
                  <c:v>7.4226989094070672E-3</c:v>
                </c:pt>
                <c:pt idx="25">
                  <c:v>7.3328898173989944E-3</c:v>
                </c:pt>
                <c:pt idx="26">
                  <c:v>7.2461906785539218E-3</c:v>
                </c:pt>
                <c:pt idx="27">
                  <c:v>7.1626014928718373E-3</c:v>
                </c:pt>
                <c:pt idx="28">
                  <c:v>7.0821222603527391E-3</c:v>
                </c:pt>
                <c:pt idx="29">
                  <c:v>7.004752980996635E-3</c:v>
                </c:pt>
                <c:pt idx="30">
                  <c:v>6.930493654803525E-3</c:v>
                </c:pt>
                <c:pt idx="31">
                  <c:v>6.8593442817734031E-3</c:v>
                </c:pt>
                <c:pt idx="32">
                  <c:v>6.7913048619062753E-3</c:v>
                </c:pt>
                <c:pt idx="33">
                  <c:v>6.7263753952021338E-3</c:v>
                </c:pt>
                <c:pt idx="34">
                  <c:v>6.6645558816609864E-3</c:v>
                </c:pt>
                <c:pt idx="35">
                  <c:v>6.605846321282834E-3</c:v>
                </c:pt>
                <c:pt idx="36">
                  <c:v>6.5502467140676679E-3</c:v>
                </c:pt>
                <c:pt idx="37">
                  <c:v>6.4977570600154959E-3</c:v>
                </c:pt>
                <c:pt idx="38">
                  <c:v>6.4483773591263189E-3</c:v>
                </c:pt>
                <c:pt idx="39">
                  <c:v>6.4021076114001282E-3</c:v>
                </c:pt>
                <c:pt idx="40">
                  <c:v>6.3589478168369247E-3</c:v>
                </c:pt>
                <c:pt idx="41">
                  <c:v>6.3188979754367162E-3</c:v>
                </c:pt>
                <c:pt idx="42">
                  <c:v>6.2819580871995009E-3</c:v>
                </c:pt>
                <c:pt idx="43">
                  <c:v>6.2481281521252797E-3</c:v>
                </c:pt>
                <c:pt idx="44">
                  <c:v>6.2174081702140466E-3</c:v>
                </c:pt>
                <c:pt idx="45">
                  <c:v>6.1897981414658068E-3</c:v>
                </c:pt>
                <c:pt idx="46">
                  <c:v>6.1652980658805541E-3</c:v>
                </c:pt>
                <c:pt idx="47">
                  <c:v>6.1439079434582964E-3</c:v>
                </c:pt>
                <c:pt idx="48">
                  <c:v>6.1256277741990319E-3</c:v>
                </c:pt>
                <c:pt idx="49">
                  <c:v>6.1104575581027555E-3</c:v>
                </c:pt>
                <c:pt idx="50">
                  <c:v>6.0983972951694655E-3</c:v>
                </c:pt>
                <c:pt idx="51">
                  <c:v>6.0894469853991773E-3</c:v>
                </c:pt>
                <c:pt idx="52">
                  <c:v>6.0836066287918754E-3</c:v>
                </c:pt>
                <c:pt idx="53">
                  <c:v>6.0808762253475607E-3</c:v>
                </c:pt>
                <c:pt idx="54">
                  <c:v>6.0812557750662402E-3</c:v>
                </c:pt>
                <c:pt idx="55">
                  <c:v>6.0847452779479215E-3</c:v>
                </c:pt>
                <c:pt idx="56">
                  <c:v>6.0913447339925823E-3</c:v>
                </c:pt>
                <c:pt idx="57">
                  <c:v>6.1010541432002371E-3</c:v>
                </c:pt>
                <c:pt idx="58">
                  <c:v>6.1138735055708791E-3</c:v>
                </c:pt>
                <c:pt idx="59">
                  <c:v>6.1298028211045231E-3</c:v>
                </c:pt>
                <c:pt idx="60">
                  <c:v>6.1488420898011473E-3</c:v>
                </c:pt>
                <c:pt idx="61">
                  <c:v>6.1709913116607716E-3</c:v>
                </c:pt>
                <c:pt idx="62">
                  <c:v>6.1962504866833763E-3</c:v>
                </c:pt>
                <c:pt idx="63">
                  <c:v>6.2246196148689897E-3</c:v>
                </c:pt>
                <c:pt idx="64">
                  <c:v>6.2560986962175835E-3</c:v>
                </c:pt>
                <c:pt idx="65">
                  <c:v>6.2906877307291626E-3</c:v>
                </c:pt>
                <c:pt idx="66">
                  <c:v>6.3283867184037446E-3</c:v>
                </c:pt>
                <c:pt idx="67">
                  <c:v>6.3691956592413128E-3</c:v>
                </c:pt>
                <c:pt idx="68">
                  <c:v>6.4131145532418752E-3</c:v>
                </c:pt>
                <c:pt idx="69">
                  <c:v>6.4601434004054256E-3</c:v>
                </c:pt>
                <c:pt idx="70">
                  <c:v>6.5102822007319693E-3</c:v>
                </c:pt>
                <c:pt idx="71">
                  <c:v>6.5635309542215001E-3</c:v>
                </c:pt>
                <c:pt idx="72">
                  <c:v>6.619889660874026E-3</c:v>
                </c:pt>
                <c:pt idx="73">
                  <c:v>6.6793583206895459E-3</c:v>
                </c:pt>
                <c:pt idx="74">
                  <c:v>6.7419369336680452E-3</c:v>
                </c:pt>
                <c:pt idx="75">
                  <c:v>6.8076254998095526E-3</c:v>
                </c:pt>
                <c:pt idx="76">
                  <c:v>6.876424019114041E-3</c:v>
                </c:pt>
                <c:pt idx="77">
                  <c:v>6.9483324915815218E-3</c:v>
                </c:pt>
                <c:pt idx="78">
                  <c:v>7.0233509172119984E-3</c:v>
                </c:pt>
                <c:pt idx="79">
                  <c:v>7.1014792960054692E-3</c:v>
                </c:pt>
                <c:pt idx="80">
                  <c:v>7.1827176279619194E-3</c:v>
                </c:pt>
              </c:numCache>
            </c:numRef>
          </c:val>
          <c:extLst>
            <c:ext xmlns:c16="http://schemas.microsoft.com/office/drawing/2014/chart" uri="{C3380CC4-5D6E-409C-BE32-E72D297353CC}">
              <c16:uniqueId val="{00000000-A84F-4AFF-90AD-1264CB609548}"/>
            </c:ext>
          </c:extLst>
        </c:ser>
        <c:ser>
          <c:idx val="1"/>
          <c:order val="1"/>
          <c:tx>
            <c:strRef>
              <c:f>Interpolation!$S$4</c:f>
              <c:strCache>
                <c:ptCount val="1"/>
                <c:pt idx="0">
                  <c:v>30.1</c:v>
                </c:pt>
              </c:strCache>
            </c:strRef>
          </c:tx>
          <c:spPr>
            <a:solidFill>
              <a:schemeClr val="accent2"/>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Interpolation!$T$4:$CV$4</c:f>
              <c:numCache>
                <c:formatCode>General</c:formatCode>
                <c:ptCount val="81"/>
                <c:pt idx="0">
                  <c:v>1.0467830350857743E-2</c:v>
                </c:pt>
                <c:pt idx="1">
                  <c:v>1.0303287152355147E-2</c:v>
                </c:pt>
                <c:pt idx="2">
                  <c:v>1.0141853907015545E-2</c:v>
                </c:pt>
                <c:pt idx="3">
                  <c:v>9.9835306148389376E-3</c:v>
                </c:pt>
                <c:pt idx="4">
                  <c:v>9.828317275825324E-3</c:v>
                </c:pt>
                <c:pt idx="5">
                  <c:v>9.6762138899746906E-3</c:v>
                </c:pt>
                <c:pt idx="6">
                  <c:v>9.5272204572870514E-3</c:v>
                </c:pt>
                <c:pt idx="7">
                  <c:v>9.3813369777623924E-3</c:v>
                </c:pt>
                <c:pt idx="8">
                  <c:v>9.2385634514007414E-3</c:v>
                </c:pt>
                <c:pt idx="9">
                  <c:v>9.0988998782020845E-3</c:v>
                </c:pt>
                <c:pt idx="10">
                  <c:v>8.9623462581664079E-3</c:v>
                </c:pt>
                <c:pt idx="11">
                  <c:v>8.8289025912937254E-3</c:v>
                </c:pt>
                <c:pt idx="12">
                  <c:v>8.698568877584037E-3</c:v>
                </c:pt>
                <c:pt idx="13">
                  <c:v>8.5713451170373427E-3</c:v>
                </c:pt>
                <c:pt idx="14">
                  <c:v>8.4472313096536286E-3</c:v>
                </c:pt>
                <c:pt idx="15">
                  <c:v>8.3262274554329156E-3</c:v>
                </c:pt>
                <c:pt idx="16">
                  <c:v>8.2083335543751898E-3</c:v>
                </c:pt>
                <c:pt idx="17">
                  <c:v>8.0935496064804512E-3</c:v>
                </c:pt>
                <c:pt idx="18">
                  <c:v>7.9818756117487136E-3</c:v>
                </c:pt>
                <c:pt idx="19">
                  <c:v>7.8733115701799632E-3</c:v>
                </c:pt>
                <c:pt idx="20">
                  <c:v>7.7678574817741999E-3</c:v>
                </c:pt>
                <c:pt idx="21">
                  <c:v>7.6655133465314378E-3</c:v>
                </c:pt>
                <c:pt idx="22">
                  <c:v>7.5662791644516628E-3</c:v>
                </c:pt>
                <c:pt idx="23">
                  <c:v>7.4701549355348749E-3</c:v>
                </c:pt>
                <c:pt idx="24">
                  <c:v>7.3771406597810812E-3</c:v>
                </c:pt>
                <c:pt idx="25">
                  <c:v>7.2872363371902747E-3</c:v>
                </c:pt>
                <c:pt idx="26">
                  <c:v>7.2004419677624693E-3</c:v>
                </c:pt>
                <c:pt idx="27">
                  <c:v>7.116757551497651E-3</c:v>
                </c:pt>
                <c:pt idx="28">
                  <c:v>7.0361830883958199E-3</c:v>
                </c:pt>
                <c:pt idx="29">
                  <c:v>6.9587185784569829E-3</c:v>
                </c:pt>
                <c:pt idx="30">
                  <c:v>6.88436402168114E-3</c:v>
                </c:pt>
                <c:pt idx="31">
                  <c:v>6.8131194180682843E-3</c:v>
                </c:pt>
                <c:pt idx="32">
                  <c:v>6.7449847676184227E-3</c:v>
                </c:pt>
                <c:pt idx="33">
                  <c:v>6.6799600703315483E-3</c:v>
                </c:pt>
                <c:pt idx="34">
                  <c:v>6.618045326207668E-3</c:v>
                </c:pt>
                <c:pt idx="35">
                  <c:v>6.5592405352467818E-3</c:v>
                </c:pt>
                <c:pt idx="36">
                  <c:v>6.5035456974488828E-3</c:v>
                </c:pt>
                <c:pt idx="37">
                  <c:v>6.450960812813978E-3</c:v>
                </c:pt>
                <c:pt idx="38">
                  <c:v>6.4014858813420672E-3</c:v>
                </c:pt>
                <c:pt idx="39">
                  <c:v>6.3551209030331436E-3</c:v>
                </c:pt>
                <c:pt idx="40">
                  <c:v>6.3118658778872072E-3</c:v>
                </c:pt>
                <c:pt idx="41">
                  <c:v>6.2717208059042649E-3</c:v>
                </c:pt>
                <c:pt idx="42">
                  <c:v>6.2346856870843168E-3</c:v>
                </c:pt>
                <c:pt idx="43">
                  <c:v>6.2007605214273627E-3</c:v>
                </c:pt>
                <c:pt idx="44">
                  <c:v>6.1699453089333958E-3</c:v>
                </c:pt>
                <c:pt idx="45">
                  <c:v>6.1422400496024231E-3</c:v>
                </c:pt>
                <c:pt idx="46">
                  <c:v>6.1176447434344375E-3</c:v>
                </c:pt>
                <c:pt idx="47">
                  <c:v>6.096159390429446E-3</c:v>
                </c:pt>
                <c:pt idx="48">
                  <c:v>6.0777839905874487E-3</c:v>
                </c:pt>
                <c:pt idx="49">
                  <c:v>6.0625185439084385E-3</c:v>
                </c:pt>
                <c:pt idx="50">
                  <c:v>6.0503630503924155E-3</c:v>
                </c:pt>
                <c:pt idx="51">
                  <c:v>6.0413175100393936E-3</c:v>
                </c:pt>
                <c:pt idx="52">
                  <c:v>6.0353819228493588E-3</c:v>
                </c:pt>
                <c:pt idx="53">
                  <c:v>6.0325562888223112E-3</c:v>
                </c:pt>
                <c:pt idx="54">
                  <c:v>6.0328406079582578E-3</c:v>
                </c:pt>
                <c:pt idx="55">
                  <c:v>6.0362348802572054E-3</c:v>
                </c:pt>
                <c:pt idx="56">
                  <c:v>6.0427391057191323E-3</c:v>
                </c:pt>
                <c:pt idx="57">
                  <c:v>6.0523532843440543E-3</c:v>
                </c:pt>
                <c:pt idx="58">
                  <c:v>6.0650774161319643E-3</c:v>
                </c:pt>
                <c:pt idx="59">
                  <c:v>6.0809115010828745E-3</c:v>
                </c:pt>
                <c:pt idx="60">
                  <c:v>6.0998555391967649E-3</c:v>
                </c:pt>
                <c:pt idx="61">
                  <c:v>6.1219095304736564E-3</c:v>
                </c:pt>
                <c:pt idx="62">
                  <c:v>6.1470734749135281E-3</c:v>
                </c:pt>
                <c:pt idx="63">
                  <c:v>6.1753473725164078E-3</c:v>
                </c:pt>
                <c:pt idx="64">
                  <c:v>6.2067312232822677E-3</c:v>
                </c:pt>
                <c:pt idx="65">
                  <c:v>6.2412250272111149E-3</c:v>
                </c:pt>
                <c:pt idx="66">
                  <c:v>6.278828784302963E-3</c:v>
                </c:pt>
                <c:pt idx="67">
                  <c:v>6.3195424945577984E-3</c:v>
                </c:pt>
                <c:pt idx="68">
                  <c:v>6.3633661579756279E-3</c:v>
                </c:pt>
                <c:pt idx="69">
                  <c:v>6.4102997745564445E-3</c:v>
                </c:pt>
                <c:pt idx="70">
                  <c:v>6.4603433443002553E-3</c:v>
                </c:pt>
                <c:pt idx="71">
                  <c:v>6.5134968672070533E-3</c:v>
                </c:pt>
                <c:pt idx="72">
                  <c:v>6.5697603432768453E-3</c:v>
                </c:pt>
                <c:pt idx="73">
                  <c:v>6.6291337725096315E-3</c:v>
                </c:pt>
                <c:pt idx="74">
                  <c:v>6.6916171549053979E-3</c:v>
                </c:pt>
                <c:pt idx="75">
                  <c:v>6.7572104904641724E-3</c:v>
                </c:pt>
                <c:pt idx="76">
                  <c:v>6.825913779185927E-3</c:v>
                </c:pt>
                <c:pt idx="77">
                  <c:v>6.8977270210706758E-3</c:v>
                </c:pt>
                <c:pt idx="78">
                  <c:v>6.9726502161184187E-3</c:v>
                </c:pt>
                <c:pt idx="79">
                  <c:v>7.0506833643291557E-3</c:v>
                </c:pt>
                <c:pt idx="80">
                  <c:v>7.1318264657028729E-3</c:v>
                </c:pt>
              </c:numCache>
            </c:numRef>
          </c:val>
          <c:extLst>
            <c:ext xmlns:c16="http://schemas.microsoft.com/office/drawing/2014/chart" uri="{C3380CC4-5D6E-409C-BE32-E72D297353CC}">
              <c16:uniqueId val="{00000001-A84F-4AFF-90AD-1264CB609548}"/>
            </c:ext>
          </c:extLst>
        </c:ser>
        <c:ser>
          <c:idx val="2"/>
          <c:order val="2"/>
          <c:tx>
            <c:strRef>
              <c:f>Interpolation!$S$5</c:f>
              <c:strCache>
                <c:ptCount val="1"/>
                <c:pt idx="0">
                  <c:v>30.2</c:v>
                </c:pt>
              </c:strCache>
            </c:strRef>
          </c:tx>
          <c:spPr>
            <a:solidFill>
              <a:schemeClr val="accent3"/>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Interpolation!$T$5:$CV$5</c:f>
              <c:numCache>
                <c:formatCode>General</c:formatCode>
                <c:ptCount val="81"/>
                <c:pt idx="0">
                  <c:v>1.0425458088944179E-2</c:v>
                </c:pt>
                <c:pt idx="1">
                  <c:v>1.0260819659858849E-2</c:v>
                </c:pt>
                <c:pt idx="2">
                  <c:v>1.0099291183936515E-2</c:v>
                </c:pt>
                <c:pt idx="3">
                  <c:v>9.9408726611771737E-3</c:v>
                </c:pt>
                <c:pt idx="4">
                  <c:v>9.7855640915808263E-3</c:v>
                </c:pt>
                <c:pt idx="5">
                  <c:v>9.6333654751474609E-3</c:v>
                </c:pt>
                <c:pt idx="6">
                  <c:v>9.4842768118770879E-3</c:v>
                </c:pt>
                <c:pt idx="7">
                  <c:v>9.3382981017696952E-3</c:v>
                </c:pt>
                <c:pt idx="8">
                  <c:v>9.1954293448253122E-3</c:v>
                </c:pt>
                <c:pt idx="9">
                  <c:v>9.0556705410439215E-3</c:v>
                </c:pt>
                <c:pt idx="10">
                  <c:v>8.9190216904255111E-3</c:v>
                </c:pt>
                <c:pt idx="11">
                  <c:v>8.7854827929700965E-3</c:v>
                </c:pt>
                <c:pt idx="12">
                  <c:v>8.6550538486776744E-3</c:v>
                </c:pt>
                <c:pt idx="13">
                  <c:v>8.5277348575482463E-3</c:v>
                </c:pt>
                <c:pt idx="14">
                  <c:v>8.4035258195818002E-3</c:v>
                </c:pt>
                <c:pt idx="15">
                  <c:v>8.2824267347783535E-3</c:v>
                </c:pt>
                <c:pt idx="16">
                  <c:v>8.1644376031378939E-3</c:v>
                </c:pt>
                <c:pt idx="17">
                  <c:v>8.0495584246604215E-3</c:v>
                </c:pt>
                <c:pt idx="18">
                  <c:v>7.9377891993459519E-3</c:v>
                </c:pt>
                <c:pt idx="19">
                  <c:v>7.8291299271944677E-3</c:v>
                </c:pt>
                <c:pt idx="20">
                  <c:v>7.7235806082059716E-3</c:v>
                </c:pt>
                <c:pt idx="21">
                  <c:v>7.6211412423804765E-3</c:v>
                </c:pt>
                <c:pt idx="22">
                  <c:v>7.5218118297179677E-3</c:v>
                </c:pt>
                <c:pt idx="23">
                  <c:v>7.425592370218447E-3</c:v>
                </c:pt>
                <c:pt idx="24">
                  <c:v>7.3324828638819195E-3</c:v>
                </c:pt>
                <c:pt idx="25">
                  <c:v>7.2424833107083801E-3</c:v>
                </c:pt>
                <c:pt idx="26">
                  <c:v>7.1555937106978417E-3</c:v>
                </c:pt>
                <c:pt idx="27">
                  <c:v>7.0718140638502906E-3</c:v>
                </c:pt>
                <c:pt idx="28">
                  <c:v>6.9911443701657257E-3</c:v>
                </c:pt>
                <c:pt idx="29">
                  <c:v>6.9135846296441549E-3</c:v>
                </c:pt>
                <c:pt idx="30">
                  <c:v>6.8391348422855791E-3</c:v>
                </c:pt>
                <c:pt idx="31">
                  <c:v>6.7677950080899905E-3</c:v>
                </c:pt>
                <c:pt idx="32">
                  <c:v>6.6995651270573952E-3</c:v>
                </c:pt>
                <c:pt idx="33">
                  <c:v>6.6344451991877879E-3</c:v>
                </c:pt>
                <c:pt idx="34">
                  <c:v>6.5724352244811747E-3</c:v>
                </c:pt>
                <c:pt idx="35">
                  <c:v>6.5135352029375548E-3</c:v>
                </c:pt>
                <c:pt idx="36">
                  <c:v>6.4577451345569229E-3</c:v>
                </c:pt>
                <c:pt idx="37">
                  <c:v>6.4050650193392851E-3</c:v>
                </c:pt>
                <c:pt idx="38">
                  <c:v>6.3554948572846406E-3</c:v>
                </c:pt>
                <c:pt idx="39">
                  <c:v>6.3090346483929841E-3</c:v>
                </c:pt>
                <c:pt idx="40">
                  <c:v>6.2656843926643148E-3</c:v>
                </c:pt>
                <c:pt idx="41">
                  <c:v>6.2254440900986387E-3</c:v>
                </c:pt>
                <c:pt idx="42">
                  <c:v>6.1883137406959577E-3</c:v>
                </c:pt>
                <c:pt idx="43">
                  <c:v>6.1542933444562698E-3</c:v>
                </c:pt>
                <c:pt idx="44">
                  <c:v>6.1233829013795701E-3</c:v>
                </c:pt>
                <c:pt idx="45">
                  <c:v>6.0955824114658635E-3</c:v>
                </c:pt>
                <c:pt idx="46">
                  <c:v>6.0708918747151451E-3</c:v>
                </c:pt>
                <c:pt idx="47">
                  <c:v>6.0493112911274207E-3</c:v>
                </c:pt>
                <c:pt idx="48">
                  <c:v>6.0308406607026896E-3</c:v>
                </c:pt>
                <c:pt idx="49">
                  <c:v>6.0154799834409465E-3</c:v>
                </c:pt>
                <c:pt idx="50">
                  <c:v>6.0032292593421906E-3</c:v>
                </c:pt>
                <c:pt idx="51">
                  <c:v>5.9940884884064349E-3</c:v>
                </c:pt>
                <c:pt idx="52">
                  <c:v>5.9880576706336673E-3</c:v>
                </c:pt>
                <c:pt idx="53">
                  <c:v>5.9851368060238868E-3</c:v>
                </c:pt>
                <c:pt idx="54">
                  <c:v>5.9853258945770996E-3</c:v>
                </c:pt>
                <c:pt idx="55">
                  <c:v>5.9886249362933143E-3</c:v>
                </c:pt>
                <c:pt idx="56">
                  <c:v>5.9950339311725083E-3</c:v>
                </c:pt>
                <c:pt idx="57">
                  <c:v>6.0045528792146974E-3</c:v>
                </c:pt>
                <c:pt idx="58">
                  <c:v>6.0171817804198727E-3</c:v>
                </c:pt>
                <c:pt idx="59">
                  <c:v>6.0329206347880509E-3</c:v>
                </c:pt>
                <c:pt idx="60">
                  <c:v>6.0517694423192075E-3</c:v>
                </c:pt>
                <c:pt idx="61">
                  <c:v>6.0737282030133661E-3</c:v>
                </c:pt>
                <c:pt idx="62">
                  <c:v>6.0987969168705049E-3</c:v>
                </c:pt>
                <c:pt idx="63">
                  <c:v>6.1269755838906509E-3</c:v>
                </c:pt>
                <c:pt idx="64">
                  <c:v>6.1582642040737779E-3</c:v>
                </c:pt>
                <c:pt idx="65">
                  <c:v>6.1926627774198913E-3</c:v>
                </c:pt>
                <c:pt idx="66">
                  <c:v>6.2301713039290066E-3</c:v>
                </c:pt>
                <c:pt idx="67">
                  <c:v>6.2707897836011082E-3</c:v>
                </c:pt>
                <c:pt idx="68">
                  <c:v>6.3145182164362048E-3</c:v>
                </c:pt>
                <c:pt idx="69">
                  <c:v>6.3613566024342885E-3</c:v>
                </c:pt>
                <c:pt idx="70">
                  <c:v>6.4113049415953655E-3</c:v>
                </c:pt>
                <c:pt idx="71">
                  <c:v>6.4643632339194306E-3</c:v>
                </c:pt>
                <c:pt idx="72">
                  <c:v>6.5205314794064897E-3</c:v>
                </c:pt>
                <c:pt idx="73">
                  <c:v>6.5798096780565422E-3</c:v>
                </c:pt>
                <c:pt idx="74">
                  <c:v>6.6421978298695757E-3</c:v>
                </c:pt>
                <c:pt idx="75">
                  <c:v>6.7076959348456172E-3</c:v>
                </c:pt>
                <c:pt idx="76">
                  <c:v>6.7763039929846381E-3</c:v>
                </c:pt>
                <c:pt idx="77">
                  <c:v>6.8480220042866531E-3</c:v>
                </c:pt>
                <c:pt idx="78">
                  <c:v>6.9228499687516631E-3</c:v>
                </c:pt>
                <c:pt idx="79">
                  <c:v>7.0007878863796672E-3</c:v>
                </c:pt>
                <c:pt idx="80">
                  <c:v>7.0818357571706507E-3</c:v>
                </c:pt>
              </c:numCache>
            </c:numRef>
          </c:val>
          <c:extLst>
            <c:ext xmlns:c16="http://schemas.microsoft.com/office/drawing/2014/chart" uri="{C3380CC4-5D6E-409C-BE32-E72D297353CC}">
              <c16:uniqueId val="{00000002-A84F-4AFF-90AD-1264CB609548}"/>
            </c:ext>
          </c:extLst>
        </c:ser>
        <c:ser>
          <c:idx val="3"/>
          <c:order val="3"/>
          <c:tx>
            <c:strRef>
              <c:f>Interpolation!$S$6</c:f>
              <c:strCache>
                <c:ptCount val="1"/>
                <c:pt idx="0">
                  <c:v>30.3</c:v>
                </c:pt>
              </c:strCache>
            </c:strRef>
          </c:tx>
          <c:spPr>
            <a:solidFill>
              <a:schemeClr val="accent4"/>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Interpolation!$T$6:$CV$6</c:f>
              <c:numCache>
                <c:formatCode>General</c:formatCode>
                <c:ptCount val="81"/>
                <c:pt idx="0">
                  <c:v>1.0383986280757426E-2</c:v>
                </c:pt>
                <c:pt idx="1">
                  <c:v>1.0219252621089364E-2</c:v>
                </c:pt>
                <c:pt idx="2">
                  <c:v>1.0057628914584296E-2</c:v>
                </c:pt>
                <c:pt idx="3">
                  <c:v>9.899115161242221E-3</c:v>
                </c:pt>
                <c:pt idx="4">
                  <c:v>9.7437113610631416E-3</c:v>
                </c:pt>
                <c:pt idx="5">
                  <c:v>9.5914175140470407E-3</c:v>
                </c:pt>
                <c:pt idx="6">
                  <c:v>9.4422336201939357E-3</c:v>
                </c:pt>
                <c:pt idx="7">
                  <c:v>9.2961596795038109E-3</c:v>
                </c:pt>
                <c:pt idx="8">
                  <c:v>9.1531956919766923E-3</c:v>
                </c:pt>
                <c:pt idx="9">
                  <c:v>9.0133416576125697E-3</c:v>
                </c:pt>
                <c:pt idx="10">
                  <c:v>8.8765975764114272E-3</c:v>
                </c:pt>
                <c:pt idx="11">
                  <c:v>8.7429634483732772E-3</c:v>
                </c:pt>
                <c:pt idx="12">
                  <c:v>8.612439273498123E-3</c:v>
                </c:pt>
                <c:pt idx="13">
                  <c:v>8.4850250517859611E-3</c:v>
                </c:pt>
                <c:pt idx="14">
                  <c:v>8.3607207832367813E-3</c:v>
                </c:pt>
                <c:pt idx="15">
                  <c:v>8.2395264678506025E-3</c:v>
                </c:pt>
                <c:pt idx="16">
                  <c:v>8.1214421056274091E-3</c:v>
                </c:pt>
                <c:pt idx="17">
                  <c:v>8.0064676965672047E-3</c:v>
                </c:pt>
                <c:pt idx="18">
                  <c:v>7.8946032406700013E-3</c:v>
                </c:pt>
                <c:pt idx="19">
                  <c:v>7.7858487379357834E-3</c:v>
                </c:pt>
                <c:pt idx="20">
                  <c:v>7.6802041883645544E-3</c:v>
                </c:pt>
                <c:pt idx="21">
                  <c:v>7.5776695919563255E-3</c:v>
                </c:pt>
                <c:pt idx="22">
                  <c:v>7.4782449487110839E-3</c:v>
                </c:pt>
                <c:pt idx="23">
                  <c:v>7.3819302586288294E-3</c:v>
                </c:pt>
                <c:pt idx="24">
                  <c:v>7.2887255217095699E-3</c:v>
                </c:pt>
                <c:pt idx="25">
                  <c:v>7.1986307379532967E-3</c:v>
                </c:pt>
                <c:pt idx="26">
                  <c:v>7.1116459073600254E-3</c:v>
                </c:pt>
                <c:pt idx="27">
                  <c:v>7.0277710299297405E-3</c:v>
                </c:pt>
                <c:pt idx="28">
                  <c:v>6.9470061056624427E-3</c:v>
                </c:pt>
                <c:pt idx="29">
                  <c:v>6.869351134558139E-3</c:v>
                </c:pt>
                <c:pt idx="30">
                  <c:v>6.7948061166168295E-3</c:v>
                </c:pt>
                <c:pt idx="31">
                  <c:v>6.723371051838508E-3</c:v>
                </c:pt>
                <c:pt idx="32">
                  <c:v>6.6550459402231798E-3</c:v>
                </c:pt>
                <c:pt idx="33">
                  <c:v>6.5898307817708387E-3</c:v>
                </c:pt>
                <c:pt idx="34">
                  <c:v>6.5277255764814917E-3</c:v>
                </c:pt>
                <c:pt idx="35">
                  <c:v>6.4687303243551389E-3</c:v>
                </c:pt>
                <c:pt idx="36">
                  <c:v>6.4128450253917741E-3</c:v>
                </c:pt>
                <c:pt idx="37">
                  <c:v>6.3600696795914026E-3</c:v>
                </c:pt>
                <c:pt idx="38">
                  <c:v>6.3104042869540251E-3</c:v>
                </c:pt>
                <c:pt idx="39">
                  <c:v>6.2638488474796358E-3</c:v>
                </c:pt>
                <c:pt idx="40">
                  <c:v>6.2204033611682327E-3</c:v>
                </c:pt>
                <c:pt idx="41">
                  <c:v>6.1800678280198237E-3</c:v>
                </c:pt>
                <c:pt idx="42">
                  <c:v>6.1428422480344098E-3</c:v>
                </c:pt>
                <c:pt idx="43">
                  <c:v>6.1087266212119891E-3</c:v>
                </c:pt>
                <c:pt idx="44">
                  <c:v>6.0777209475525555E-3</c:v>
                </c:pt>
                <c:pt idx="45">
                  <c:v>6.0498252270561161E-3</c:v>
                </c:pt>
                <c:pt idx="46">
                  <c:v>6.0250394597226638E-3</c:v>
                </c:pt>
                <c:pt idx="47">
                  <c:v>6.0033636455522066E-3</c:v>
                </c:pt>
                <c:pt idx="48">
                  <c:v>5.9847977845447426E-3</c:v>
                </c:pt>
                <c:pt idx="49">
                  <c:v>5.9693418767002657E-3</c:v>
                </c:pt>
                <c:pt idx="50">
                  <c:v>5.956995922018777E-3</c:v>
                </c:pt>
                <c:pt idx="51">
                  <c:v>5.9477599205002884E-3</c:v>
                </c:pt>
                <c:pt idx="52">
                  <c:v>5.9416338721447869E-3</c:v>
                </c:pt>
                <c:pt idx="53">
                  <c:v>5.9386177769522727E-3</c:v>
                </c:pt>
                <c:pt idx="54">
                  <c:v>5.9387116349227526E-3</c:v>
                </c:pt>
                <c:pt idx="55">
                  <c:v>5.9419154460562344E-3</c:v>
                </c:pt>
                <c:pt idx="56">
                  <c:v>5.9482292103526955E-3</c:v>
                </c:pt>
                <c:pt idx="57">
                  <c:v>5.9576529278121508E-3</c:v>
                </c:pt>
                <c:pt idx="58">
                  <c:v>5.9701865984345941E-3</c:v>
                </c:pt>
                <c:pt idx="59">
                  <c:v>5.9858302222200377E-3</c:v>
                </c:pt>
                <c:pt idx="60">
                  <c:v>6.0045837991684614E-3</c:v>
                </c:pt>
                <c:pt idx="61">
                  <c:v>6.0264473292798871E-3</c:v>
                </c:pt>
                <c:pt idx="62">
                  <c:v>6.0514208125542921E-3</c:v>
                </c:pt>
                <c:pt idx="63">
                  <c:v>6.0795042489917052E-3</c:v>
                </c:pt>
                <c:pt idx="64">
                  <c:v>6.1106976385920993E-3</c:v>
                </c:pt>
                <c:pt idx="65">
                  <c:v>6.1450009813554789E-3</c:v>
                </c:pt>
                <c:pt idx="66">
                  <c:v>6.1824142772818613E-3</c:v>
                </c:pt>
                <c:pt idx="67">
                  <c:v>6.2229375263712292E-3</c:v>
                </c:pt>
                <c:pt idx="68">
                  <c:v>6.2665707286235928E-3</c:v>
                </c:pt>
                <c:pt idx="69">
                  <c:v>6.3133138840389428E-3</c:v>
                </c:pt>
                <c:pt idx="70">
                  <c:v>6.3631669926172869E-3</c:v>
                </c:pt>
                <c:pt idx="71">
                  <c:v>6.4161300543586191E-3</c:v>
                </c:pt>
                <c:pt idx="72">
                  <c:v>6.4722030692629454E-3</c:v>
                </c:pt>
                <c:pt idx="73">
                  <c:v>6.5313860373302649E-3</c:v>
                </c:pt>
                <c:pt idx="74">
                  <c:v>6.5936789585605646E-3</c:v>
                </c:pt>
                <c:pt idx="75">
                  <c:v>6.6590818329538724E-3</c:v>
                </c:pt>
                <c:pt idx="76">
                  <c:v>6.7275946605101604E-3</c:v>
                </c:pt>
                <c:pt idx="77">
                  <c:v>6.7992174412294434E-3</c:v>
                </c:pt>
                <c:pt idx="78">
                  <c:v>6.8739501751117187E-3</c:v>
                </c:pt>
                <c:pt idx="79">
                  <c:v>6.9517928621569899E-3</c:v>
                </c:pt>
                <c:pt idx="80">
                  <c:v>7.0327455023652405E-3</c:v>
                </c:pt>
              </c:numCache>
            </c:numRef>
          </c:val>
          <c:extLst>
            <c:ext xmlns:c16="http://schemas.microsoft.com/office/drawing/2014/chart" uri="{C3380CC4-5D6E-409C-BE32-E72D297353CC}">
              <c16:uniqueId val="{00000003-A84F-4AFF-90AD-1264CB609548}"/>
            </c:ext>
          </c:extLst>
        </c:ser>
        <c:ser>
          <c:idx val="4"/>
          <c:order val="4"/>
          <c:tx>
            <c:strRef>
              <c:f>Interpolation!$S$7</c:f>
              <c:strCache>
                <c:ptCount val="1"/>
                <c:pt idx="0">
                  <c:v>30.4</c:v>
                </c:pt>
              </c:strCache>
            </c:strRef>
          </c:tx>
          <c:spPr>
            <a:solidFill>
              <a:schemeClr val="accent5"/>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Interpolation!$T$7:$CV$7</c:f>
              <c:numCache>
                <c:formatCode>General</c:formatCode>
                <c:ptCount val="81"/>
                <c:pt idx="0">
                  <c:v>1.0343414926297497E-2</c:v>
                </c:pt>
                <c:pt idx="1">
                  <c:v>1.0178586036046702E-2</c:v>
                </c:pt>
                <c:pt idx="2">
                  <c:v>1.0016867098958901E-2</c:v>
                </c:pt>
                <c:pt idx="3">
                  <c:v>9.8582581150340933E-3</c:v>
                </c:pt>
                <c:pt idx="4">
                  <c:v>9.7027590842722802E-3</c:v>
                </c:pt>
                <c:pt idx="5">
                  <c:v>9.5503700066734473E-3</c:v>
                </c:pt>
                <c:pt idx="6">
                  <c:v>9.4010908822376085E-3</c:v>
                </c:pt>
                <c:pt idx="7">
                  <c:v>9.2549217109647499E-3</c:v>
                </c:pt>
                <c:pt idx="8">
                  <c:v>9.1118624928548993E-3</c:v>
                </c:pt>
                <c:pt idx="9">
                  <c:v>8.9719132279080429E-3</c:v>
                </c:pt>
                <c:pt idx="10">
                  <c:v>8.8350739161241667E-3</c:v>
                </c:pt>
                <c:pt idx="11">
                  <c:v>8.7013445575032846E-3</c:v>
                </c:pt>
                <c:pt idx="12">
                  <c:v>8.5707251520453966E-3</c:v>
                </c:pt>
                <c:pt idx="13">
                  <c:v>8.4432156997505028E-3</c:v>
                </c:pt>
                <c:pt idx="14">
                  <c:v>8.3188162006185892E-3</c:v>
                </c:pt>
                <c:pt idx="15">
                  <c:v>8.1975266546496766E-3</c:v>
                </c:pt>
                <c:pt idx="16">
                  <c:v>8.0793470618437512E-3</c:v>
                </c:pt>
                <c:pt idx="17">
                  <c:v>7.9642774222008113E-3</c:v>
                </c:pt>
                <c:pt idx="18">
                  <c:v>7.8523177357208741E-3</c:v>
                </c:pt>
                <c:pt idx="19">
                  <c:v>7.743468002403925E-3</c:v>
                </c:pt>
                <c:pt idx="20">
                  <c:v>7.6377282222499622E-3</c:v>
                </c:pt>
                <c:pt idx="21">
                  <c:v>7.5350983952590005E-3</c:v>
                </c:pt>
                <c:pt idx="22">
                  <c:v>7.4355785214310251E-3</c:v>
                </c:pt>
                <c:pt idx="23">
                  <c:v>7.3391686007660377E-3</c:v>
                </c:pt>
                <c:pt idx="24">
                  <c:v>7.2458686332640444E-3</c:v>
                </c:pt>
                <c:pt idx="25">
                  <c:v>7.1556786189250383E-3</c:v>
                </c:pt>
                <c:pt idx="26">
                  <c:v>7.0685985577490333E-3</c:v>
                </c:pt>
                <c:pt idx="27">
                  <c:v>6.9846284497360155E-3</c:v>
                </c:pt>
                <c:pt idx="28">
                  <c:v>6.9037682948859848E-3</c:v>
                </c:pt>
                <c:pt idx="29">
                  <c:v>6.8260180931989482E-3</c:v>
                </c:pt>
                <c:pt idx="30">
                  <c:v>6.7513778446749058E-3</c:v>
                </c:pt>
                <c:pt idx="31">
                  <c:v>6.6798475493138505E-3</c:v>
                </c:pt>
                <c:pt idx="32">
                  <c:v>6.6114272071157894E-3</c:v>
                </c:pt>
                <c:pt idx="33">
                  <c:v>6.5461168180807145E-3</c:v>
                </c:pt>
                <c:pt idx="34">
                  <c:v>6.4839163822086347E-3</c:v>
                </c:pt>
                <c:pt idx="35">
                  <c:v>6.424825899499549E-3</c:v>
                </c:pt>
                <c:pt idx="36">
                  <c:v>6.3688453699534504E-3</c:v>
                </c:pt>
                <c:pt idx="37">
                  <c:v>6.315974793570346E-3</c:v>
                </c:pt>
                <c:pt idx="38">
                  <c:v>6.2662141703502356E-3</c:v>
                </c:pt>
                <c:pt idx="39">
                  <c:v>6.2195635002931125E-3</c:v>
                </c:pt>
                <c:pt idx="40">
                  <c:v>6.1760227833989757E-3</c:v>
                </c:pt>
                <c:pt idx="41">
                  <c:v>6.1355920196678338E-3</c:v>
                </c:pt>
                <c:pt idx="42">
                  <c:v>6.0982712090996861E-3</c:v>
                </c:pt>
                <c:pt idx="43">
                  <c:v>6.0640603516945325E-3</c:v>
                </c:pt>
                <c:pt idx="44">
                  <c:v>6.032959447452366E-3</c:v>
                </c:pt>
                <c:pt idx="45">
                  <c:v>6.0049684963731937E-3</c:v>
                </c:pt>
                <c:pt idx="46">
                  <c:v>5.9800874984570086E-3</c:v>
                </c:pt>
                <c:pt idx="47">
                  <c:v>5.9583164537038175E-3</c:v>
                </c:pt>
                <c:pt idx="48">
                  <c:v>5.9396553621136206E-3</c:v>
                </c:pt>
                <c:pt idx="49">
                  <c:v>5.9241042236864109E-3</c:v>
                </c:pt>
                <c:pt idx="50">
                  <c:v>5.9116630384221883E-3</c:v>
                </c:pt>
                <c:pt idx="51">
                  <c:v>5.9023318063209668E-3</c:v>
                </c:pt>
                <c:pt idx="52">
                  <c:v>5.8961105273827325E-3</c:v>
                </c:pt>
                <c:pt idx="53">
                  <c:v>5.8929992016074845E-3</c:v>
                </c:pt>
                <c:pt idx="54">
                  <c:v>5.8929978289952315E-3</c:v>
                </c:pt>
                <c:pt idx="55">
                  <c:v>5.8961064095459795E-3</c:v>
                </c:pt>
                <c:pt idx="56">
                  <c:v>5.9023249432597069E-3</c:v>
                </c:pt>
                <c:pt idx="57">
                  <c:v>5.9116534301364293E-3</c:v>
                </c:pt>
                <c:pt idx="58">
                  <c:v>5.9240918701761389E-3</c:v>
                </c:pt>
                <c:pt idx="59">
                  <c:v>5.9396402633788495E-3</c:v>
                </c:pt>
                <c:pt idx="60">
                  <c:v>5.9582986097445403E-3</c:v>
                </c:pt>
                <c:pt idx="61">
                  <c:v>5.9800669092732323E-3</c:v>
                </c:pt>
                <c:pt idx="62">
                  <c:v>6.0049451619649044E-3</c:v>
                </c:pt>
                <c:pt idx="63">
                  <c:v>6.0329333678195846E-3</c:v>
                </c:pt>
                <c:pt idx="64">
                  <c:v>6.0640315268372449E-3</c:v>
                </c:pt>
                <c:pt idx="65">
                  <c:v>6.0982396390178925E-3</c:v>
                </c:pt>
                <c:pt idx="66">
                  <c:v>6.1355577043615411E-3</c:v>
                </c:pt>
                <c:pt idx="67">
                  <c:v>6.1759857228681769E-3</c:v>
                </c:pt>
                <c:pt idx="68">
                  <c:v>6.2195236945378068E-3</c:v>
                </c:pt>
                <c:pt idx="69">
                  <c:v>6.2661716193704239E-3</c:v>
                </c:pt>
                <c:pt idx="70">
                  <c:v>6.3159294973660343E-3</c:v>
                </c:pt>
                <c:pt idx="71">
                  <c:v>6.3687973285246327E-3</c:v>
                </c:pt>
                <c:pt idx="72">
                  <c:v>6.424775112846226E-3</c:v>
                </c:pt>
                <c:pt idx="73">
                  <c:v>6.4838628503308127E-3</c:v>
                </c:pt>
                <c:pt idx="74">
                  <c:v>6.5460605409783795E-3</c:v>
                </c:pt>
                <c:pt idx="75">
                  <c:v>6.6113681847889526E-3</c:v>
                </c:pt>
                <c:pt idx="76">
                  <c:v>6.6797857817625077E-3</c:v>
                </c:pt>
                <c:pt idx="77">
                  <c:v>6.751313331899057E-3</c:v>
                </c:pt>
                <c:pt idx="78">
                  <c:v>6.8259508351986003E-3</c:v>
                </c:pt>
                <c:pt idx="79">
                  <c:v>6.9036982916611377E-3</c:v>
                </c:pt>
                <c:pt idx="80">
                  <c:v>6.9845557012866554E-3</c:v>
                </c:pt>
              </c:numCache>
            </c:numRef>
          </c:val>
          <c:extLst>
            <c:ext xmlns:c16="http://schemas.microsoft.com/office/drawing/2014/chart" uri="{C3380CC4-5D6E-409C-BE32-E72D297353CC}">
              <c16:uniqueId val="{00000004-A84F-4AFF-90AD-1264CB609548}"/>
            </c:ext>
          </c:extLst>
        </c:ser>
        <c:ser>
          <c:idx val="5"/>
          <c:order val="5"/>
          <c:tx>
            <c:strRef>
              <c:f>Interpolation!$S$8</c:f>
              <c:strCache>
                <c:ptCount val="1"/>
                <c:pt idx="0">
                  <c:v>30.5</c:v>
                </c:pt>
              </c:strCache>
            </c:strRef>
          </c:tx>
          <c:spPr>
            <a:solidFill>
              <a:schemeClr val="accent6"/>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Interpolation!$T$8:$CV$8</c:f>
              <c:numCache>
                <c:formatCode>General</c:formatCode>
                <c:ptCount val="81"/>
                <c:pt idx="0">
                  <c:v>1.0303744025564382E-2</c:v>
                </c:pt>
                <c:pt idx="1">
                  <c:v>1.0138819904730853E-2</c:v>
                </c:pt>
                <c:pt idx="2">
                  <c:v>9.9770057370603179E-3</c:v>
                </c:pt>
                <c:pt idx="3">
                  <c:v>9.8183015225527769E-3</c:v>
                </c:pt>
                <c:pt idx="4">
                  <c:v>9.6627072612082317E-3</c:v>
                </c:pt>
                <c:pt idx="5">
                  <c:v>9.510222953026665E-3</c:v>
                </c:pt>
                <c:pt idx="6">
                  <c:v>9.3608485980080924E-3</c:v>
                </c:pt>
                <c:pt idx="7">
                  <c:v>9.2145841961525001E-3</c:v>
                </c:pt>
                <c:pt idx="8">
                  <c:v>9.0714297474599175E-3</c:v>
                </c:pt>
                <c:pt idx="9">
                  <c:v>8.9313852519303273E-3</c:v>
                </c:pt>
                <c:pt idx="10">
                  <c:v>8.7944507095637173E-3</c:v>
                </c:pt>
                <c:pt idx="11">
                  <c:v>8.6606261203601015E-3</c:v>
                </c:pt>
                <c:pt idx="12">
                  <c:v>8.5299114843194815E-3</c:v>
                </c:pt>
                <c:pt idx="13">
                  <c:v>8.4023068014418539E-3</c:v>
                </c:pt>
                <c:pt idx="14">
                  <c:v>8.2778120717272065E-3</c:v>
                </c:pt>
                <c:pt idx="15">
                  <c:v>8.1564272951755619E-3</c:v>
                </c:pt>
                <c:pt idx="16">
                  <c:v>8.0381524717869027E-3</c:v>
                </c:pt>
                <c:pt idx="17">
                  <c:v>7.9229876015612308E-3</c:v>
                </c:pt>
                <c:pt idx="18">
                  <c:v>7.8109326844985599E-3</c:v>
                </c:pt>
                <c:pt idx="19">
                  <c:v>7.701987720598877E-3</c:v>
                </c:pt>
                <c:pt idx="20">
                  <c:v>7.5961527098621813E-3</c:v>
                </c:pt>
                <c:pt idx="21">
                  <c:v>7.4934276522884858E-3</c:v>
                </c:pt>
                <c:pt idx="22">
                  <c:v>7.3938125478777783E-3</c:v>
                </c:pt>
                <c:pt idx="23">
                  <c:v>7.2973073966300572E-3</c:v>
                </c:pt>
                <c:pt idx="24">
                  <c:v>7.203912198545331E-3</c:v>
                </c:pt>
                <c:pt idx="25">
                  <c:v>7.1136269536235912E-3</c:v>
                </c:pt>
                <c:pt idx="26">
                  <c:v>7.0264516618648533E-3</c:v>
                </c:pt>
                <c:pt idx="27">
                  <c:v>6.9423863232691025E-3</c:v>
                </c:pt>
                <c:pt idx="28">
                  <c:v>6.8614309378363381E-3</c:v>
                </c:pt>
                <c:pt idx="29">
                  <c:v>6.7835855055665677E-3</c:v>
                </c:pt>
                <c:pt idx="30">
                  <c:v>6.7088500264597924E-3</c:v>
                </c:pt>
                <c:pt idx="31">
                  <c:v>6.6372245005160042E-3</c:v>
                </c:pt>
                <c:pt idx="32">
                  <c:v>6.5687089277352093E-3</c:v>
                </c:pt>
                <c:pt idx="33">
                  <c:v>6.5033033081174016E-3</c:v>
                </c:pt>
                <c:pt idx="34">
                  <c:v>6.4410076416625888E-3</c:v>
                </c:pt>
                <c:pt idx="35">
                  <c:v>6.3818219283707702E-3</c:v>
                </c:pt>
                <c:pt idx="36">
                  <c:v>6.3257461682419379E-3</c:v>
                </c:pt>
                <c:pt idx="37">
                  <c:v>6.2727803612760997E-3</c:v>
                </c:pt>
                <c:pt idx="38">
                  <c:v>6.2229245074732565E-3</c:v>
                </c:pt>
                <c:pt idx="39">
                  <c:v>6.1761786068334004E-3</c:v>
                </c:pt>
                <c:pt idx="40">
                  <c:v>6.1325426593565307E-3</c:v>
                </c:pt>
                <c:pt idx="41">
                  <c:v>6.0920166650426551E-3</c:v>
                </c:pt>
                <c:pt idx="42">
                  <c:v>6.0546006238917744E-3</c:v>
                </c:pt>
                <c:pt idx="43">
                  <c:v>6.0202945359038879E-3</c:v>
                </c:pt>
                <c:pt idx="44">
                  <c:v>5.9890984010789877E-3</c:v>
                </c:pt>
                <c:pt idx="45">
                  <c:v>5.9610122194170816E-3</c:v>
                </c:pt>
                <c:pt idx="46">
                  <c:v>5.9360359909181636E-3</c:v>
                </c:pt>
                <c:pt idx="47">
                  <c:v>5.9141697155822397E-3</c:v>
                </c:pt>
                <c:pt idx="48">
                  <c:v>5.895413393409309E-3</c:v>
                </c:pt>
                <c:pt idx="49">
                  <c:v>5.8797670243993664E-3</c:v>
                </c:pt>
                <c:pt idx="50">
                  <c:v>5.8672306085524109E-3</c:v>
                </c:pt>
                <c:pt idx="51">
                  <c:v>5.8578041458684556E-3</c:v>
                </c:pt>
                <c:pt idx="52">
                  <c:v>5.8514876363474876E-3</c:v>
                </c:pt>
                <c:pt idx="53">
                  <c:v>5.8482810799895075E-3</c:v>
                </c:pt>
                <c:pt idx="54">
                  <c:v>5.8481844767945207E-3</c:v>
                </c:pt>
                <c:pt idx="55">
                  <c:v>5.8511978267625359E-3</c:v>
                </c:pt>
                <c:pt idx="56">
                  <c:v>5.8573211298935304E-3</c:v>
                </c:pt>
                <c:pt idx="57">
                  <c:v>5.8665543861875198E-3</c:v>
                </c:pt>
                <c:pt idx="58">
                  <c:v>5.8788975956444956E-3</c:v>
                </c:pt>
                <c:pt idx="59">
                  <c:v>5.8943507582644734E-3</c:v>
                </c:pt>
                <c:pt idx="60">
                  <c:v>5.9129138740474305E-3</c:v>
                </c:pt>
                <c:pt idx="61">
                  <c:v>5.9345869429933895E-3</c:v>
                </c:pt>
                <c:pt idx="62">
                  <c:v>5.9593699651023287E-3</c:v>
                </c:pt>
                <c:pt idx="63">
                  <c:v>5.9872629403742751E-3</c:v>
                </c:pt>
                <c:pt idx="64">
                  <c:v>6.0182658688092026E-3</c:v>
                </c:pt>
                <c:pt idx="65">
                  <c:v>6.0523787504071164E-3</c:v>
                </c:pt>
                <c:pt idx="66">
                  <c:v>6.0896015851680321E-3</c:v>
                </c:pt>
                <c:pt idx="67">
                  <c:v>6.1299343730919342E-3</c:v>
                </c:pt>
                <c:pt idx="68">
                  <c:v>6.1733771141788303E-3</c:v>
                </c:pt>
                <c:pt idx="69">
                  <c:v>6.2199298084287145E-3</c:v>
                </c:pt>
                <c:pt idx="70">
                  <c:v>6.2695924558415928E-3</c:v>
                </c:pt>
                <c:pt idx="71">
                  <c:v>6.3223650564174574E-3</c:v>
                </c:pt>
                <c:pt idx="72">
                  <c:v>6.378247610156317E-3</c:v>
                </c:pt>
                <c:pt idx="73">
                  <c:v>6.4372401170581708E-3</c:v>
                </c:pt>
                <c:pt idx="74">
                  <c:v>6.4993425771230039E-3</c:v>
                </c:pt>
                <c:pt idx="75">
                  <c:v>6.564554990350845E-3</c:v>
                </c:pt>
                <c:pt idx="76">
                  <c:v>6.6328773567416663E-3</c:v>
                </c:pt>
                <c:pt idx="77">
                  <c:v>6.7043096762954835E-3</c:v>
                </c:pt>
                <c:pt idx="78">
                  <c:v>6.778851949012293E-3</c:v>
                </c:pt>
                <c:pt idx="79">
                  <c:v>6.8565041748920967E-3</c:v>
                </c:pt>
                <c:pt idx="80">
                  <c:v>6.9372663539348815E-3</c:v>
                </c:pt>
              </c:numCache>
            </c:numRef>
          </c:val>
          <c:extLst>
            <c:ext xmlns:c16="http://schemas.microsoft.com/office/drawing/2014/chart" uri="{C3380CC4-5D6E-409C-BE32-E72D297353CC}">
              <c16:uniqueId val="{00000005-A84F-4AFF-90AD-1264CB609548}"/>
            </c:ext>
          </c:extLst>
        </c:ser>
        <c:ser>
          <c:idx val="6"/>
          <c:order val="6"/>
          <c:tx>
            <c:strRef>
              <c:f>Interpolation!$S$9</c:f>
              <c:strCache>
                <c:ptCount val="1"/>
                <c:pt idx="0">
                  <c:v>30.6</c:v>
                </c:pt>
              </c:strCache>
            </c:strRef>
          </c:tx>
          <c:spPr>
            <a:solidFill>
              <a:schemeClr val="accent1">
                <a:lumMod val="6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Interpolation!$T$9:$CV$9</c:f>
              <c:numCache>
                <c:formatCode>General</c:formatCode>
                <c:ptCount val="81"/>
                <c:pt idx="0">
                  <c:v>1.0264973578558097E-2</c:v>
                </c:pt>
                <c:pt idx="1">
                  <c:v>1.0099954227141834E-2</c:v>
                </c:pt>
                <c:pt idx="2">
                  <c:v>9.9380448288885672E-3</c:v>
                </c:pt>
                <c:pt idx="3">
                  <c:v>9.7792453837982941E-3</c:v>
                </c:pt>
                <c:pt idx="4">
                  <c:v>9.6235558918710135E-3</c:v>
                </c:pt>
                <c:pt idx="5">
                  <c:v>9.4709763531067147E-3</c:v>
                </c:pt>
                <c:pt idx="6">
                  <c:v>9.3215067675054084E-3</c:v>
                </c:pt>
                <c:pt idx="7">
                  <c:v>9.1751471350670841E-3</c:v>
                </c:pt>
                <c:pt idx="8">
                  <c:v>9.031897455791766E-3</c:v>
                </c:pt>
                <c:pt idx="9">
                  <c:v>8.8917577296794437E-3</c:v>
                </c:pt>
                <c:pt idx="10">
                  <c:v>8.7547279567301017E-3</c:v>
                </c:pt>
                <c:pt idx="11">
                  <c:v>8.6208081369437521E-3</c:v>
                </c:pt>
                <c:pt idx="12">
                  <c:v>8.4899982703203983E-3</c:v>
                </c:pt>
                <c:pt idx="13">
                  <c:v>8.362298356860037E-3</c:v>
                </c:pt>
                <c:pt idx="14">
                  <c:v>8.2377083965626575E-3</c:v>
                </c:pt>
                <c:pt idx="15">
                  <c:v>8.1162283894282775E-3</c:v>
                </c:pt>
                <c:pt idx="16">
                  <c:v>7.9978583354568863E-3</c:v>
                </c:pt>
                <c:pt idx="17">
                  <c:v>7.8825982346484823E-3</c:v>
                </c:pt>
                <c:pt idx="18">
                  <c:v>7.7704480870030776E-3</c:v>
                </c:pt>
                <c:pt idx="19">
                  <c:v>7.661407892520661E-3</c:v>
                </c:pt>
                <c:pt idx="20">
                  <c:v>7.5554776512012324E-3</c:v>
                </c:pt>
                <c:pt idx="21">
                  <c:v>7.452657363044804E-3</c:v>
                </c:pt>
                <c:pt idx="22">
                  <c:v>7.3529470280513628E-3</c:v>
                </c:pt>
                <c:pt idx="23">
                  <c:v>7.2563466462209087E-3</c:v>
                </c:pt>
                <c:pt idx="24">
                  <c:v>7.1628562175534488E-3</c:v>
                </c:pt>
                <c:pt idx="25">
                  <c:v>7.072475742048976E-3</c:v>
                </c:pt>
                <c:pt idx="26">
                  <c:v>6.9852052197075052E-3</c:v>
                </c:pt>
                <c:pt idx="27">
                  <c:v>6.9010446505290207E-3</c:v>
                </c:pt>
                <c:pt idx="28">
                  <c:v>6.8199940345135233E-3</c:v>
                </c:pt>
                <c:pt idx="29">
                  <c:v>6.7420533716610201E-3</c:v>
                </c:pt>
                <c:pt idx="30">
                  <c:v>6.667222661971511E-3</c:v>
                </c:pt>
                <c:pt idx="31">
                  <c:v>6.5955019054449891E-3</c:v>
                </c:pt>
                <c:pt idx="32">
                  <c:v>6.5268911020814613E-3</c:v>
                </c:pt>
                <c:pt idx="33">
                  <c:v>6.4613902518809215E-3</c:v>
                </c:pt>
                <c:pt idx="34">
                  <c:v>6.3989993548433741E-3</c:v>
                </c:pt>
                <c:pt idx="35">
                  <c:v>6.3397184109688226E-3</c:v>
                </c:pt>
                <c:pt idx="36">
                  <c:v>6.2835474202572574E-3</c:v>
                </c:pt>
                <c:pt idx="37">
                  <c:v>6.2304863827086863E-3</c:v>
                </c:pt>
                <c:pt idx="38">
                  <c:v>6.1805352983231093E-3</c:v>
                </c:pt>
                <c:pt idx="39">
                  <c:v>6.1336941671005195E-3</c:v>
                </c:pt>
                <c:pt idx="40">
                  <c:v>6.0899629890409177E-3</c:v>
                </c:pt>
                <c:pt idx="41">
                  <c:v>6.0493417641443092E-3</c:v>
                </c:pt>
                <c:pt idx="42">
                  <c:v>6.0118304924106948E-3</c:v>
                </c:pt>
                <c:pt idx="43">
                  <c:v>5.9774291738400745E-3</c:v>
                </c:pt>
                <c:pt idx="44">
                  <c:v>5.9461378084324414E-3</c:v>
                </c:pt>
                <c:pt idx="45">
                  <c:v>5.9179563961878024E-3</c:v>
                </c:pt>
                <c:pt idx="46">
                  <c:v>5.8928849371061506E-3</c:v>
                </c:pt>
                <c:pt idx="47">
                  <c:v>5.8709234311874938E-3</c:v>
                </c:pt>
                <c:pt idx="48">
                  <c:v>5.8520718784318302E-3</c:v>
                </c:pt>
                <c:pt idx="49">
                  <c:v>5.8363302788391538E-3</c:v>
                </c:pt>
                <c:pt idx="50">
                  <c:v>5.8236986324094646E-3</c:v>
                </c:pt>
                <c:pt idx="51">
                  <c:v>5.8141769391427765E-3</c:v>
                </c:pt>
                <c:pt idx="52">
                  <c:v>5.8077651990390763E-3</c:v>
                </c:pt>
                <c:pt idx="53">
                  <c:v>5.8044634120983617E-3</c:v>
                </c:pt>
                <c:pt idx="54">
                  <c:v>5.8042715783206428E-3</c:v>
                </c:pt>
                <c:pt idx="55">
                  <c:v>5.8071896977059242E-3</c:v>
                </c:pt>
                <c:pt idx="56">
                  <c:v>5.8132177702541858E-3</c:v>
                </c:pt>
                <c:pt idx="57">
                  <c:v>5.8223557959654415E-3</c:v>
                </c:pt>
                <c:pt idx="58">
                  <c:v>5.8346037748396844E-3</c:v>
                </c:pt>
                <c:pt idx="59">
                  <c:v>5.8499617068769293E-3</c:v>
                </c:pt>
                <c:pt idx="60">
                  <c:v>5.8684295920771535E-3</c:v>
                </c:pt>
                <c:pt idx="61">
                  <c:v>5.8900074304403787E-3</c:v>
                </c:pt>
                <c:pt idx="62">
                  <c:v>5.9146952219665842E-3</c:v>
                </c:pt>
                <c:pt idx="63">
                  <c:v>5.9424929666557977E-3</c:v>
                </c:pt>
                <c:pt idx="64">
                  <c:v>5.9734006645079923E-3</c:v>
                </c:pt>
                <c:pt idx="65">
                  <c:v>6.0074183155231723E-3</c:v>
                </c:pt>
                <c:pt idx="66">
                  <c:v>6.0445459197013551E-3</c:v>
                </c:pt>
                <c:pt idx="67">
                  <c:v>6.0847834770425234E-3</c:v>
                </c:pt>
                <c:pt idx="68">
                  <c:v>6.1281309875466875E-3</c:v>
                </c:pt>
                <c:pt idx="69">
                  <c:v>6.1745884512138379E-3</c:v>
                </c:pt>
                <c:pt idx="70">
                  <c:v>6.2241558680439825E-3</c:v>
                </c:pt>
                <c:pt idx="71">
                  <c:v>6.2768332380371142E-3</c:v>
                </c:pt>
                <c:pt idx="72">
                  <c:v>6.3326205611932401E-3</c:v>
                </c:pt>
                <c:pt idx="73">
                  <c:v>6.3915178375123609E-3</c:v>
                </c:pt>
                <c:pt idx="74">
                  <c:v>6.4535250669944611E-3</c:v>
                </c:pt>
                <c:pt idx="75">
                  <c:v>6.5186422496395693E-3</c:v>
                </c:pt>
                <c:pt idx="76">
                  <c:v>6.5868693854476577E-3</c:v>
                </c:pt>
                <c:pt idx="77">
                  <c:v>6.6582064744187403E-3</c:v>
                </c:pt>
                <c:pt idx="78">
                  <c:v>6.7326535165528169E-3</c:v>
                </c:pt>
                <c:pt idx="79">
                  <c:v>6.8102105118498877E-3</c:v>
                </c:pt>
                <c:pt idx="80">
                  <c:v>6.8908774603099396E-3</c:v>
                </c:pt>
              </c:numCache>
            </c:numRef>
          </c:val>
          <c:extLst>
            <c:ext xmlns:c16="http://schemas.microsoft.com/office/drawing/2014/chart" uri="{C3380CC4-5D6E-409C-BE32-E72D297353CC}">
              <c16:uniqueId val="{00000006-A84F-4AFF-90AD-1264CB609548}"/>
            </c:ext>
          </c:extLst>
        </c:ser>
        <c:ser>
          <c:idx val="7"/>
          <c:order val="7"/>
          <c:tx>
            <c:strRef>
              <c:f>Interpolation!$S$10</c:f>
              <c:strCache>
                <c:ptCount val="1"/>
                <c:pt idx="0">
                  <c:v>30.7</c:v>
                </c:pt>
              </c:strCache>
            </c:strRef>
          </c:tx>
          <c:spPr>
            <a:solidFill>
              <a:schemeClr val="accent2">
                <a:lumMod val="6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Interpolation!$T$10:$CV$10</c:f>
              <c:numCache>
                <c:formatCode>General</c:formatCode>
                <c:ptCount val="81"/>
                <c:pt idx="0">
                  <c:v>1.0227103585278624E-2</c:v>
                </c:pt>
                <c:pt idx="1">
                  <c:v>1.0061989003279629E-2</c:v>
                </c:pt>
                <c:pt idx="2">
                  <c:v>9.8999843744436277E-3</c:v>
                </c:pt>
                <c:pt idx="3">
                  <c:v>9.7410896987706209E-3</c:v>
                </c:pt>
                <c:pt idx="4">
                  <c:v>9.5853049762606064E-3</c:v>
                </c:pt>
                <c:pt idx="5">
                  <c:v>9.432630206913574E-3</c:v>
                </c:pt>
                <c:pt idx="6">
                  <c:v>9.2830653907295356E-3</c:v>
                </c:pt>
                <c:pt idx="7">
                  <c:v>9.1366105277084775E-3</c:v>
                </c:pt>
                <c:pt idx="8">
                  <c:v>8.9932656178504274E-3</c:v>
                </c:pt>
                <c:pt idx="9">
                  <c:v>8.8530306611553714E-3</c:v>
                </c:pt>
                <c:pt idx="10">
                  <c:v>8.7159056576232956E-3</c:v>
                </c:pt>
                <c:pt idx="11">
                  <c:v>8.5818906072542139E-3</c:v>
                </c:pt>
                <c:pt idx="12">
                  <c:v>8.4509855100481264E-3</c:v>
                </c:pt>
                <c:pt idx="13">
                  <c:v>8.323190366005033E-3</c:v>
                </c:pt>
                <c:pt idx="14">
                  <c:v>8.1985051751249181E-3</c:v>
                </c:pt>
                <c:pt idx="15">
                  <c:v>8.0769299374078059E-3</c:v>
                </c:pt>
                <c:pt idx="16">
                  <c:v>7.958464652853681E-3</c:v>
                </c:pt>
                <c:pt idx="17">
                  <c:v>7.8431093214625432E-3</c:v>
                </c:pt>
                <c:pt idx="18">
                  <c:v>7.7308639432344065E-3</c:v>
                </c:pt>
                <c:pt idx="19">
                  <c:v>7.621728518169257E-3</c:v>
                </c:pt>
                <c:pt idx="20">
                  <c:v>7.5157030462670946E-3</c:v>
                </c:pt>
                <c:pt idx="21">
                  <c:v>7.4127875275279325E-3</c:v>
                </c:pt>
                <c:pt idx="22">
                  <c:v>7.3129819619517583E-3</c:v>
                </c:pt>
                <c:pt idx="23">
                  <c:v>7.2162863495385714E-3</c:v>
                </c:pt>
                <c:pt idx="24">
                  <c:v>7.1227006902883777E-3</c:v>
                </c:pt>
                <c:pt idx="25">
                  <c:v>7.0322249842011721E-3</c:v>
                </c:pt>
                <c:pt idx="26">
                  <c:v>6.9448592312769675E-3</c:v>
                </c:pt>
                <c:pt idx="27">
                  <c:v>6.8606034315157501E-3</c:v>
                </c:pt>
                <c:pt idx="28">
                  <c:v>6.7794575849175198E-3</c:v>
                </c:pt>
                <c:pt idx="29">
                  <c:v>6.7014216914822837E-3</c:v>
                </c:pt>
                <c:pt idx="30">
                  <c:v>6.6264957512100408E-3</c:v>
                </c:pt>
                <c:pt idx="31">
                  <c:v>6.554679764100786E-3</c:v>
                </c:pt>
                <c:pt idx="32">
                  <c:v>6.4859737301545253E-3</c:v>
                </c:pt>
                <c:pt idx="33">
                  <c:v>6.4203776493712518E-3</c:v>
                </c:pt>
                <c:pt idx="34">
                  <c:v>6.3578915217509715E-3</c:v>
                </c:pt>
                <c:pt idx="35">
                  <c:v>6.2985153472936862E-3</c:v>
                </c:pt>
                <c:pt idx="36">
                  <c:v>6.2422491259993881E-3</c:v>
                </c:pt>
                <c:pt idx="37">
                  <c:v>6.1890928578680841E-3</c:v>
                </c:pt>
                <c:pt idx="38">
                  <c:v>6.1390465428997742E-3</c:v>
                </c:pt>
                <c:pt idx="39">
                  <c:v>6.0921101810944515E-3</c:v>
                </c:pt>
                <c:pt idx="40">
                  <c:v>6.0482837724521151E-3</c:v>
                </c:pt>
                <c:pt idx="41">
                  <c:v>6.0075673169727737E-3</c:v>
                </c:pt>
                <c:pt idx="42">
                  <c:v>5.9699608146564264E-3</c:v>
                </c:pt>
                <c:pt idx="43">
                  <c:v>5.9354642655030732E-3</c:v>
                </c:pt>
                <c:pt idx="44">
                  <c:v>5.9040776695127063E-3</c:v>
                </c:pt>
                <c:pt idx="45">
                  <c:v>5.8758010266853344E-3</c:v>
                </c:pt>
                <c:pt idx="46">
                  <c:v>5.8506343370209497E-3</c:v>
                </c:pt>
                <c:pt idx="47">
                  <c:v>5.8285776005195591E-3</c:v>
                </c:pt>
                <c:pt idx="48">
                  <c:v>5.8096308171811627E-3</c:v>
                </c:pt>
                <c:pt idx="49">
                  <c:v>5.7937939870057534E-3</c:v>
                </c:pt>
                <c:pt idx="50">
                  <c:v>5.7810671099933304E-3</c:v>
                </c:pt>
                <c:pt idx="51">
                  <c:v>5.7714501861439093E-3</c:v>
                </c:pt>
                <c:pt idx="52">
                  <c:v>5.7649432154574754E-3</c:v>
                </c:pt>
                <c:pt idx="53">
                  <c:v>5.7615461979340279E-3</c:v>
                </c:pt>
                <c:pt idx="54">
                  <c:v>5.7612591335735753E-3</c:v>
                </c:pt>
                <c:pt idx="55">
                  <c:v>5.7640820223761238E-3</c:v>
                </c:pt>
                <c:pt idx="56">
                  <c:v>5.7700148643416525E-3</c:v>
                </c:pt>
                <c:pt idx="57">
                  <c:v>5.7790576594701753E-3</c:v>
                </c:pt>
                <c:pt idx="58">
                  <c:v>5.7912104077616844E-3</c:v>
                </c:pt>
                <c:pt idx="59">
                  <c:v>5.8064731092161963E-3</c:v>
                </c:pt>
                <c:pt idx="60">
                  <c:v>5.8248457638336868E-3</c:v>
                </c:pt>
                <c:pt idx="61">
                  <c:v>5.8463283716141791E-3</c:v>
                </c:pt>
                <c:pt idx="62">
                  <c:v>5.8709209325576509E-3</c:v>
                </c:pt>
                <c:pt idx="63">
                  <c:v>5.8986234466641314E-3</c:v>
                </c:pt>
                <c:pt idx="64">
                  <c:v>5.9294359139335923E-3</c:v>
                </c:pt>
                <c:pt idx="65">
                  <c:v>5.9633583343660403E-3</c:v>
                </c:pt>
                <c:pt idx="66">
                  <c:v>6.0003907079614893E-3</c:v>
                </c:pt>
                <c:pt idx="67">
                  <c:v>6.0405330347199247E-3</c:v>
                </c:pt>
                <c:pt idx="68">
                  <c:v>6.083785314641355E-3</c:v>
                </c:pt>
                <c:pt idx="69">
                  <c:v>6.1301475477257726E-3</c:v>
                </c:pt>
                <c:pt idx="70">
                  <c:v>6.1796197339731834E-3</c:v>
                </c:pt>
                <c:pt idx="71">
                  <c:v>6.2322018733835822E-3</c:v>
                </c:pt>
                <c:pt idx="72">
                  <c:v>6.2878939659569751E-3</c:v>
                </c:pt>
                <c:pt idx="73">
                  <c:v>6.3466960116933622E-3</c:v>
                </c:pt>
                <c:pt idx="74">
                  <c:v>6.4086080105927295E-3</c:v>
                </c:pt>
                <c:pt idx="75">
                  <c:v>6.4736299626551048E-3</c:v>
                </c:pt>
                <c:pt idx="76">
                  <c:v>6.5417618678804603E-3</c:v>
                </c:pt>
                <c:pt idx="77">
                  <c:v>6.6130037262688091E-3</c:v>
                </c:pt>
                <c:pt idx="78">
                  <c:v>6.6873555378201529E-3</c:v>
                </c:pt>
                <c:pt idx="79">
                  <c:v>6.7648173025344907E-3</c:v>
                </c:pt>
                <c:pt idx="80">
                  <c:v>6.845389020411808E-3</c:v>
                </c:pt>
              </c:numCache>
            </c:numRef>
          </c:val>
          <c:extLst>
            <c:ext xmlns:c16="http://schemas.microsoft.com/office/drawing/2014/chart" uri="{C3380CC4-5D6E-409C-BE32-E72D297353CC}">
              <c16:uniqueId val="{00000007-A84F-4AFF-90AD-1264CB609548}"/>
            </c:ext>
          </c:extLst>
        </c:ser>
        <c:ser>
          <c:idx val="8"/>
          <c:order val="8"/>
          <c:tx>
            <c:strRef>
              <c:f>Interpolation!$S$11</c:f>
              <c:strCache>
                <c:ptCount val="1"/>
                <c:pt idx="0">
                  <c:v>30.8</c:v>
                </c:pt>
              </c:strCache>
            </c:strRef>
          </c:tx>
          <c:spPr>
            <a:solidFill>
              <a:schemeClr val="accent3">
                <a:lumMod val="6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Interpolation!$T$11:$CV$11</c:f>
              <c:numCache>
                <c:formatCode>General</c:formatCode>
                <c:ptCount val="81"/>
                <c:pt idx="0">
                  <c:v>1.0190134045725954E-2</c:v>
                </c:pt>
                <c:pt idx="1">
                  <c:v>1.0024924233144225E-2</c:v>
                </c:pt>
                <c:pt idx="2">
                  <c:v>9.8628243737254907E-3</c:v>
                </c:pt>
                <c:pt idx="3">
                  <c:v>9.7038344674697519E-3</c:v>
                </c:pt>
                <c:pt idx="4">
                  <c:v>9.5479545143770054E-3</c:v>
                </c:pt>
                <c:pt idx="5">
                  <c:v>9.3951845144472391E-3</c:v>
                </c:pt>
                <c:pt idx="6">
                  <c:v>9.245524467680467E-3</c:v>
                </c:pt>
                <c:pt idx="7">
                  <c:v>9.0989743740766751E-3</c:v>
                </c:pt>
                <c:pt idx="8">
                  <c:v>8.955534233635893E-3</c:v>
                </c:pt>
                <c:pt idx="9">
                  <c:v>8.8152040463581032E-3</c:v>
                </c:pt>
                <c:pt idx="10">
                  <c:v>8.6779838122432937E-3</c:v>
                </c:pt>
                <c:pt idx="11">
                  <c:v>8.5438735312914783E-3</c:v>
                </c:pt>
                <c:pt idx="12">
                  <c:v>8.4128732035026587E-3</c:v>
                </c:pt>
                <c:pt idx="13">
                  <c:v>8.2849828288768315E-3</c:v>
                </c:pt>
                <c:pt idx="14">
                  <c:v>8.1602024074139846E-3</c:v>
                </c:pt>
                <c:pt idx="15">
                  <c:v>8.0385319391141387E-3</c:v>
                </c:pt>
                <c:pt idx="16">
                  <c:v>7.91997142397728E-3</c:v>
                </c:pt>
                <c:pt idx="17">
                  <c:v>7.8045208620034093E-3</c:v>
                </c:pt>
                <c:pt idx="18">
                  <c:v>7.6921802531925397E-3</c:v>
                </c:pt>
                <c:pt idx="19">
                  <c:v>7.5829495975446564E-3</c:v>
                </c:pt>
                <c:pt idx="20">
                  <c:v>7.4768288950597603E-3</c:v>
                </c:pt>
                <c:pt idx="21">
                  <c:v>7.3738181457378661E-3</c:v>
                </c:pt>
                <c:pt idx="22">
                  <c:v>7.2739173495789582E-3</c:v>
                </c:pt>
                <c:pt idx="23">
                  <c:v>7.1771265065830384E-3</c:v>
                </c:pt>
                <c:pt idx="24">
                  <c:v>7.0834456167501118E-3</c:v>
                </c:pt>
                <c:pt idx="25">
                  <c:v>6.9928746800801724E-3</c:v>
                </c:pt>
                <c:pt idx="26">
                  <c:v>6.9054136965732349E-3</c:v>
                </c:pt>
                <c:pt idx="27">
                  <c:v>6.8210626662292845E-3</c:v>
                </c:pt>
                <c:pt idx="28">
                  <c:v>6.7398215890483205E-3</c:v>
                </c:pt>
                <c:pt idx="29">
                  <c:v>6.6616904650303507E-3</c:v>
                </c:pt>
                <c:pt idx="30">
                  <c:v>6.5866692941753749E-3</c:v>
                </c:pt>
                <c:pt idx="31">
                  <c:v>6.5147580764833872E-3</c:v>
                </c:pt>
                <c:pt idx="32">
                  <c:v>6.4459568119543936E-3</c:v>
                </c:pt>
                <c:pt idx="33">
                  <c:v>6.3802655005883863E-3</c:v>
                </c:pt>
                <c:pt idx="34">
                  <c:v>6.3176841423853731E-3</c:v>
                </c:pt>
                <c:pt idx="35">
                  <c:v>6.258212737345354E-3</c:v>
                </c:pt>
                <c:pt idx="36">
                  <c:v>6.201851285468323E-3</c:v>
                </c:pt>
                <c:pt idx="37">
                  <c:v>6.1485997867542861E-3</c:v>
                </c:pt>
                <c:pt idx="38">
                  <c:v>6.0984582412032425E-3</c:v>
                </c:pt>
                <c:pt idx="39">
                  <c:v>6.051426648815186E-3</c:v>
                </c:pt>
                <c:pt idx="40">
                  <c:v>6.0075050095901176E-3</c:v>
                </c:pt>
                <c:pt idx="41">
                  <c:v>5.9666933235280424E-3</c:v>
                </c:pt>
                <c:pt idx="42">
                  <c:v>5.9289915906289622E-3</c:v>
                </c:pt>
                <c:pt idx="43">
                  <c:v>5.8943998108928752E-3</c:v>
                </c:pt>
                <c:pt idx="44">
                  <c:v>5.8629179843197755E-3</c:v>
                </c:pt>
                <c:pt idx="45">
                  <c:v>5.8345461109096698E-3</c:v>
                </c:pt>
                <c:pt idx="46">
                  <c:v>5.8092841906625522E-3</c:v>
                </c:pt>
                <c:pt idx="47">
                  <c:v>5.7871322235784287E-3</c:v>
                </c:pt>
                <c:pt idx="48">
                  <c:v>5.7680902096572985E-3</c:v>
                </c:pt>
                <c:pt idx="49">
                  <c:v>5.7521581488991554E-3</c:v>
                </c:pt>
                <c:pt idx="50">
                  <c:v>5.7393360413040004E-3</c:v>
                </c:pt>
                <c:pt idx="51">
                  <c:v>5.7296238868718465E-3</c:v>
                </c:pt>
                <c:pt idx="52">
                  <c:v>5.7230216856026788E-3</c:v>
                </c:pt>
                <c:pt idx="53">
                  <c:v>5.7195294374964983E-3</c:v>
                </c:pt>
                <c:pt idx="54">
                  <c:v>5.719147142553312E-3</c:v>
                </c:pt>
                <c:pt idx="55">
                  <c:v>5.7218748007731276E-3</c:v>
                </c:pt>
                <c:pt idx="56">
                  <c:v>5.7277124121559225E-3</c:v>
                </c:pt>
                <c:pt idx="57">
                  <c:v>5.7366599767017124E-3</c:v>
                </c:pt>
                <c:pt idx="58">
                  <c:v>5.7487174944104887E-3</c:v>
                </c:pt>
                <c:pt idx="59">
                  <c:v>5.7638849652822668E-3</c:v>
                </c:pt>
                <c:pt idx="60">
                  <c:v>5.7821623893170243E-3</c:v>
                </c:pt>
                <c:pt idx="61">
                  <c:v>5.8035497665147838E-3</c:v>
                </c:pt>
                <c:pt idx="62">
                  <c:v>5.8280470968755226E-3</c:v>
                </c:pt>
                <c:pt idx="63">
                  <c:v>5.8556543803992694E-3</c:v>
                </c:pt>
                <c:pt idx="64">
                  <c:v>5.8863716170859974E-3</c:v>
                </c:pt>
                <c:pt idx="65">
                  <c:v>5.9201988069357116E-3</c:v>
                </c:pt>
                <c:pt idx="66">
                  <c:v>5.9571359499484278E-3</c:v>
                </c:pt>
                <c:pt idx="67">
                  <c:v>5.9971830461241302E-3</c:v>
                </c:pt>
                <c:pt idx="68">
                  <c:v>6.0403400954628268E-3</c:v>
                </c:pt>
                <c:pt idx="69">
                  <c:v>6.0866070979645106E-3</c:v>
                </c:pt>
                <c:pt idx="70">
                  <c:v>6.1359840536291893E-3</c:v>
                </c:pt>
                <c:pt idx="71">
                  <c:v>6.1884709624568553E-3</c:v>
                </c:pt>
                <c:pt idx="72">
                  <c:v>6.2440678244475144E-3</c:v>
                </c:pt>
                <c:pt idx="73">
                  <c:v>6.3027746396011677E-3</c:v>
                </c:pt>
                <c:pt idx="74">
                  <c:v>6.3645914079178021E-3</c:v>
                </c:pt>
                <c:pt idx="75">
                  <c:v>6.4295181293974437E-3</c:v>
                </c:pt>
                <c:pt idx="76">
                  <c:v>6.4975548040400663E-3</c:v>
                </c:pt>
                <c:pt idx="77">
                  <c:v>6.5687014318456822E-3</c:v>
                </c:pt>
                <c:pt idx="78">
                  <c:v>6.6429580128142922E-3</c:v>
                </c:pt>
                <c:pt idx="79">
                  <c:v>6.7203245469458972E-3</c:v>
                </c:pt>
                <c:pt idx="80">
                  <c:v>6.8008010342404815E-3</c:v>
                </c:pt>
              </c:numCache>
            </c:numRef>
          </c:val>
          <c:extLst>
            <c:ext xmlns:c16="http://schemas.microsoft.com/office/drawing/2014/chart" uri="{C3380CC4-5D6E-409C-BE32-E72D297353CC}">
              <c16:uniqueId val="{00000008-A84F-4AFF-90AD-1264CB609548}"/>
            </c:ext>
          </c:extLst>
        </c:ser>
        <c:ser>
          <c:idx val="9"/>
          <c:order val="9"/>
          <c:tx>
            <c:strRef>
              <c:f>Interpolation!$S$12</c:f>
              <c:strCache>
                <c:ptCount val="1"/>
                <c:pt idx="0">
                  <c:v>30.9</c:v>
                </c:pt>
              </c:strCache>
            </c:strRef>
          </c:tx>
          <c:spPr>
            <a:solidFill>
              <a:schemeClr val="accent4">
                <a:lumMod val="6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Interpolation!$T$12:$CV$12</c:f>
              <c:numCache>
                <c:formatCode>General</c:formatCode>
                <c:ptCount val="81"/>
                <c:pt idx="0">
                  <c:v>1.0154064959900117E-2</c:v>
                </c:pt>
                <c:pt idx="1">
                  <c:v>9.988759916735656E-3</c:v>
                </c:pt>
                <c:pt idx="2">
                  <c:v>9.8265648267341875E-3</c:v>
                </c:pt>
                <c:pt idx="3">
                  <c:v>9.6674796898957149E-3</c:v>
                </c:pt>
                <c:pt idx="4">
                  <c:v>9.5115045062202346E-3</c:v>
                </c:pt>
                <c:pt idx="5">
                  <c:v>9.3586392757077363E-3</c:v>
                </c:pt>
                <c:pt idx="6">
                  <c:v>9.2088839983582305E-3</c:v>
                </c:pt>
                <c:pt idx="7">
                  <c:v>9.0622386741717065E-3</c:v>
                </c:pt>
                <c:pt idx="8">
                  <c:v>8.9187033031481889E-3</c:v>
                </c:pt>
                <c:pt idx="9">
                  <c:v>8.7782778852876671E-3</c:v>
                </c:pt>
                <c:pt idx="10">
                  <c:v>8.6409624205901238E-3</c:v>
                </c:pt>
                <c:pt idx="11">
                  <c:v>8.5067569090555763E-3</c:v>
                </c:pt>
                <c:pt idx="12">
                  <c:v>8.375661350684023E-3</c:v>
                </c:pt>
                <c:pt idx="13">
                  <c:v>8.2476757454754621E-3</c:v>
                </c:pt>
                <c:pt idx="14">
                  <c:v>8.1228000934298831E-3</c:v>
                </c:pt>
                <c:pt idx="15">
                  <c:v>8.0010343945473034E-3</c:v>
                </c:pt>
                <c:pt idx="16">
                  <c:v>7.8823786488277127E-3</c:v>
                </c:pt>
                <c:pt idx="17">
                  <c:v>7.7668328562711074E-3</c:v>
                </c:pt>
                <c:pt idx="18">
                  <c:v>7.654397016877504E-3</c:v>
                </c:pt>
                <c:pt idx="19">
                  <c:v>7.5450711306468878E-3</c:v>
                </c:pt>
                <c:pt idx="20">
                  <c:v>7.4388551975792597E-3</c:v>
                </c:pt>
                <c:pt idx="21">
                  <c:v>7.3357492176746308E-3</c:v>
                </c:pt>
                <c:pt idx="22">
                  <c:v>7.2357531909329909E-3</c:v>
                </c:pt>
                <c:pt idx="23">
                  <c:v>7.1388671173543364E-3</c:v>
                </c:pt>
                <c:pt idx="24">
                  <c:v>7.0450909969386778E-3</c:v>
                </c:pt>
                <c:pt idx="25">
                  <c:v>6.9544248296860055E-3</c:v>
                </c:pt>
                <c:pt idx="26">
                  <c:v>6.8668686155963343E-3</c:v>
                </c:pt>
                <c:pt idx="27">
                  <c:v>6.7824223546696502E-3</c:v>
                </c:pt>
                <c:pt idx="28">
                  <c:v>6.7010860469059533E-3</c:v>
                </c:pt>
                <c:pt idx="29">
                  <c:v>6.6228596923052505E-3</c:v>
                </c:pt>
                <c:pt idx="30">
                  <c:v>6.5477432908675418E-3</c:v>
                </c:pt>
                <c:pt idx="31">
                  <c:v>6.4757368425928203E-3</c:v>
                </c:pt>
                <c:pt idx="32">
                  <c:v>6.406840347481093E-3</c:v>
                </c:pt>
                <c:pt idx="33">
                  <c:v>6.3410538055323528E-3</c:v>
                </c:pt>
                <c:pt idx="34">
                  <c:v>6.2783772167466067E-3</c:v>
                </c:pt>
                <c:pt idx="35">
                  <c:v>6.2188105811238547E-3</c:v>
                </c:pt>
                <c:pt idx="36">
                  <c:v>6.1623538986640899E-3</c:v>
                </c:pt>
                <c:pt idx="37">
                  <c:v>6.1090071693673193E-3</c:v>
                </c:pt>
                <c:pt idx="38">
                  <c:v>6.0587703932335427E-3</c:v>
                </c:pt>
                <c:pt idx="39">
                  <c:v>6.0116435702627534E-3</c:v>
                </c:pt>
                <c:pt idx="40">
                  <c:v>5.9676267004549512E-3</c:v>
                </c:pt>
                <c:pt idx="41">
                  <c:v>5.926719783810144E-3</c:v>
                </c:pt>
                <c:pt idx="42">
                  <c:v>5.8889228203283291E-3</c:v>
                </c:pt>
                <c:pt idx="43">
                  <c:v>5.8542358100095102E-3</c:v>
                </c:pt>
                <c:pt idx="44">
                  <c:v>5.8226587528536766E-3</c:v>
                </c:pt>
                <c:pt idx="45">
                  <c:v>5.7941916488608389E-3</c:v>
                </c:pt>
                <c:pt idx="46">
                  <c:v>5.7688344980309867E-3</c:v>
                </c:pt>
                <c:pt idx="47">
                  <c:v>5.7465873003641303E-3</c:v>
                </c:pt>
                <c:pt idx="48">
                  <c:v>5.7274500558602672E-3</c:v>
                </c:pt>
                <c:pt idx="49">
                  <c:v>5.7114227645193912E-3</c:v>
                </c:pt>
                <c:pt idx="50">
                  <c:v>5.6985054263415024E-3</c:v>
                </c:pt>
                <c:pt idx="51">
                  <c:v>5.6886980413266147E-3</c:v>
                </c:pt>
                <c:pt idx="52">
                  <c:v>5.6820006094747142E-3</c:v>
                </c:pt>
                <c:pt idx="53">
                  <c:v>5.6784131307858008E-3</c:v>
                </c:pt>
                <c:pt idx="54">
                  <c:v>5.6779356052598816E-3</c:v>
                </c:pt>
                <c:pt idx="55">
                  <c:v>5.6805680328969634E-3</c:v>
                </c:pt>
                <c:pt idx="56">
                  <c:v>5.6863104136970254E-3</c:v>
                </c:pt>
                <c:pt idx="57">
                  <c:v>5.6951627476600816E-3</c:v>
                </c:pt>
                <c:pt idx="58">
                  <c:v>5.7071250347861249E-3</c:v>
                </c:pt>
                <c:pt idx="59">
                  <c:v>5.7221972750751693E-3</c:v>
                </c:pt>
                <c:pt idx="60">
                  <c:v>5.7403794685271948E-3</c:v>
                </c:pt>
                <c:pt idx="61">
                  <c:v>5.7616716151422196E-3</c:v>
                </c:pt>
                <c:pt idx="62">
                  <c:v>5.7860737149202264E-3</c:v>
                </c:pt>
                <c:pt idx="63">
                  <c:v>5.8135857678612395E-3</c:v>
                </c:pt>
                <c:pt idx="64">
                  <c:v>5.8442077739652345E-3</c:v>
                </c:pt>
                <c:pt idx="65">
                  <c:v>5.877939733232215E-3</c:v>
                </c:pt>
                <c:pt idx="66">
                  <c:v>5.9147816456621982E-3</c:v>
                </c:pt>
                <c:pt idx="67">
                  <c:v>5.9547335112551669E-3</c:v>
                </c:pt>
                <c:pt idx="68">
                  <c:v>5.9977953300111315E-3</c:v>
                </c:pt>
                <c:pt idx="69">
                  <c:v>6.0439671019300815E-3</c:v>
                </c:pt>
                <c:pt idx="70">
                  <c:v>6.0932488270120273E-3</c:v>
                </c:pt>
                <c:pt idx="71">
                  <c:v>6.1456405052569586E-3</c:v>
                </c:pt>
                <c:pt idx="72">
                  <c:v>6.2011421366648858E-3</c:v>
                </c:pt>
                <c:pt idx="73">
                  <c:v>6.259753721235807E-3</c:v>
                </c:pt>
                <c:pt idx="74">
                  <c:v>6.3214752589697068E-3</c:v>
                </c:pt>
                <c:pt idx="75">
                  <c:v>6.3863067498666154E-3</c:v>
                </c:pt>
                <c:pt idx="76">
                  <c:v>6.4542481939265043E-3</c:v>
                </c:pt>
                <c:pt idx="77">
                  <c:v>6.5252995911493873E-3</c:v>
                </c:pt>
                <c:pt idx="78">
                  <c:v>6.5994609415352644E-3</c:v>
                </c:pt>
                <c:pt idx="79">
                  <c:v>6.6767322450841356E-3</c:v>
                </c:pt>
                <c:pt idx="80">
                  <c:v>6.7571135017959871E-3</c:v>
                </c:pt>
              </c:numCache>
            </c:numRef>
          </c:val>
          <c:extLst>
            <c:ext xmlns:c16="http://schemas.microsoft.com/office/drawing/2014/chart" uri="{C3380CC4-5D6E-409C-BE32-E72D297353CC}">
              <c16:uniqueId val="{00000009-A84F-4AFF-90AD-1264CB609548}"/>
            </c:ext>
          </c:extLst>
        </c:ser>
        <c:ser>
          <c:idx val="10"/>
          <c:order val="10"/>
          <c:tx>
            <c:strRef>
              <c:f>Interpolation!$S$13</c:f>
              <c:strCache>
                <c:ptCount val="1"/>
                <c:pt idx="0">
                  <c:v>31</c:v>
                </c:pt>
              </c:strCache>
            </c:strRef>
          </c:tx>
          <c:spPr>
            <a:solidFill>
              <a:schemeClr val="accent5">
                <a:lumMod val="6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Interpolation!$T$13:$CV$13</c:f>
              <c:numCache>
                <c:formatCode>General</c:formatCode>
                <c:ptCount val="81"/>
                <c:pt idx="0">
                  <c:v>1.0118896327801077E-2</c:v>
                </c:pt>
                <c:pt idx="1">
                  <c:v>9.9534960540538821E-3</c:v>
                </c:pt>
                <c:pt idx="2">
                  <c:v>9.7912057334696816E-3</c:v>
                </c:pt>
                <c:pt idx="3">
                  <c:v>9.6320253660484752E-3</c:v>
                </c:pt>
                <c:pt idx="4">
                  <c:v>9.4759549517902629E-3</c:v>
                </c:pt>
                <c:pt idx="5">
                  <c:v>9.3229944906950309E-3</c:v>
                </c:pt>
                <c:pt idx="6">
                  <c:v>9.1731439827627912E-3</c:v>
                </c:pt>
                <c:pt idx="7">
                  <c:v>9.0264034279935335E-3</c:v>
                </c:pt>
                <c:pt idx="8">
                  <c:v>8.8827728263872838E-3</c:v>
                </c:pt>
                <c:pt idx="9">
                  <c:v>8.7422521779440283E-3</c:v>
                </c:pt>
                <c:pt idx="10">
                  <c:v>8.6048414826637529E-3</c:v>
                </c:pt>
                <c:pt idx="11">
                  <c:v>8.4705407405464717E-3</c:v>
                </c:pt>
                <c:pt idx="12">
                  <c:v>8.3393499515921829E-3</c:v>
                </c:pt>
                <c:pt idx="13">
                  <c:v>8.2112691158008899E-3</c:v>
                </c:pt>
                <c:pt idx="14">
                  <c:v>8.0862982331725772E-3</c:v>
                </c:pt>
                <c:pt idx="15">
                  <c:v>7.9644373037072655E-3</c:v>
                </c:pt>
                <c:pt idx="16">
                  <c:v>7.845686327404941E-3</c:v>
                </c:pt>
                <c:pt idx="17">
                  <c:v>7.7300453042656028E-3</c:v>
                </c:pt>
                <c:pt idx="18">
                  <c:v>7.6175142342892665E-3</c:v>
                </c:pt>
                <c:pt idx="19">
                  <c:v>7.5080931174759174E-3</c:v>
                </c:pt>
                <c:pt idx="20">
                  <c:v>7.4017819538255546E-3</c:v>
                </c:pt>
                <c:pt idx="21">
                  <c:v>7.2985807433381938E-3</c:v>
                </c:pt>
                <c:pt idx="22">
                  <c:v>7.1984894860138201E-3</c:v>
                </c:pt>
                <c:pt idx="23">
                  <c:v>7.1015081818524327E-3</c:v>
                </c:pt>
                <c:pt idx="24">
                  <c:v>7.0076368308540403E-3</c:v>
                </c:pt>
                <c:pt idx="25">
                  <c:v>6.9168754330186351E-3</c:v>
                </c:pt>
                <c:pt idx="26">
                  <c:v>6.8292239883462301E-3</c:v>
                </c:pt>
                <c:pt idx="27">
                  <c:v>6.7446824968368131E-3</c:v>
                </c:pt>
                <c:pt idx="28">
                  <c:v>6.6632509584903833E-3</c:v>
                </c:pt>
                <c:pt idx="29">
                  <c:v>6.5849293733069468E-3</c:v>
                </c:pt>
                <c:pt idx="30">
                  <c:v>6.5097177412865052E-3</c:v>
                </c:pt>
                <c:pt idx="31">
                  <c:v>6.4376160624290508E-3</c:v>
                </c:pt>
                <c:pt idx="32">
                  <c:v>6.3686243367345905E-3</c:v>
                </c:pt>
                <c:pt idx="33">
                  <c:v>6.3027425642031166E-3</c:v>
                </c:pt>
                <c:pt idx="34">
                  <c:v>6.2399707448346376E-3</c:v>
                </c:pt>
                <c:pt idx="35">
                  <c:v>6.1803088786291527E-3</c:v>
                </c:pt>
                <c:pt idx="36">
                  <c:v>6.1237569655866542E-3</c:v>
                </c:pt>
                <c:pt idx="37">
                  <c:v>6.0703150057071506E-3</c:v>
                </c:pt>
                <c:pt idx="38">
                  <c:v>6.0199829989906403E-3</c:v>
                </c:pt>
                <c:pt idx="39">
                  <c:v>5.9727609454371181E-3</c:v>
                </c:pt>
                <c:pt idx="40">
                  <c:v>5.928648845046583E-3</c:v>
                </c:pt>
                <c:pt idx="41">
                  <c:v>5.887646697819042E-3</c:v>
                </c:pt>
                <c:pt idx="42">
                  <c:v>5.8497545037544943E-3</c:v>
                </c:pt>
                <c:pt idx="43">
                  <c:v>5.8149722628529415E-3</c:v>
                </c:pt>
                <c:pt idx="44">
                  <c:v>5.7832999751143751E-3</c:v>
                </c:pt>
                <c:pt idx="45">
                  <c:v>5.7547376405388036E-3</c:v>
                </c:pt>
                <c:pt idx="46">
                  <c:v>5.7292852591262194E-3</c:v>
                </c:pt>
                <c:pt idx="47">
                  <c:v>5.7069428308766292E-3</c:v>
                </c:pt>
                <c:pt idx="48">
                  <c:v>5.6877103557900332E-3</c:v>
                </c:pt>
                <c:pt idx="49">
                  <c:v>5.6715878338664235E-3</c:v>
                </c:pt>
                <c:pt idx="50">
                  <c:v>5.6585752651058018E-3</c:v>
                </c:pt>
                <c:pt idx="51">
                  <c:v>5.6486726495081803E-3</c:v>
                </c:pt>
                <c:pt idx="52">
                  <c:v>5.6418799870735468E-3</c:v>
                </c:pt>
                <c:pt idx="53">
                  <c:v>5.6381972778019006E-3</c:v>
                </c:pt>
                <c:pt idx="54">
                  <c:v>5.6376245216932476E-3</c:v>
                </c:pt>
                <c:pt idx="55">
                  <c:v>5.6401617187475965E-3</c:v>
                </c:pt>
                <c:pt idx="56">
                  <c:v>5.6458088689649247E-3</c:v>
                </c:pt>
                <c:pt idx="57">
                  <c:v>5.654565972345248E-3</c:v>
                </c:pt>
                <c:pt idx="58">
                  <c:v>5.6664330288885584E-3</c:v>
                </c:pt>
                <c:pt idx="59">
                  <c:v>5.6814100385948699E-3</c:v>
                </c:pt>
                <c:pt idx="60">
                  <c:v>5.6994970014641617E-3</c:v>
                </c:pt>
                <c:pt idx="61">
                  <c:v>5.7206939174964545E-3</c:v>
                </c:pt>
                <c:pt idx="62">
                  <c:v>5.7450007866917266E-3</c:v>
                </c:pt>
                <c:pt idx="63">
                  <c:v>5.7724176090500068E-3</c:v>
                </c:pt>
                <c:pt idx="64">
                  <c:v>5.802944384571268E-3</c:v>
                </c:pt>
                <c:pt idx="65">
                  <c:v>5.8365811132555165E-3</c:v>
                </c:pt>
                <c:pt idx="66">
                  <c:v>5.873327795102766E-3</c:v>
                </c:pt>
                <c:pt idx="67">
                  <c:v>5.9131844301130018E-3</c:v>
                </c:pt>
                <c:pt idx="68">
                  <c:v>5.9561510182862317E-3</c:v>
                </c:pt>
                <c:pt idx="69">
                  <c:v>6.0022275596224497E-3</c:v>
                </c:pt>
                <c:pt idx="70">
                  <c:v>6.0514140541216618E-3</c:v>
                </c:pt>
                <c:pt idx="71">
                  <c:v>6.103710501783861E-3</c:v>
                </c:pt>
                <c:pt idx="72">
                  <c:v>6.1591169026090544E-3</c:v>
                </c:pt>
                <c:pt idx="73">
                  <c:v>6.2176332565972419E-3</c:v>
                </c:pt>
                <c:pt idx="74">
                  <c:v>6.2792595637484096E-3</c:v>
                </c:pt>
                <c:pt idx="75">
                  <c:v>6.3439958240625836E-3</c:v>
                </c:pt>
                <c:pt idx="76">
                  <c:v>6.4118420375397396E-3</c:v>
                </c:pt>
                <c:pt idx="77">
                  <c:v>6.4827982041798897E-3</c:v>
                </c:pt>
                <c:pt idx="78">
                  <c:v>6.5568643239830339E-3</c:v>
                </c:pt>
                <c:pt idx="79">
                  <c:v>6.6340403969491714E-3</c:v>
                </c:pt>
                <c:pt idx="80">
                  <c:v>6.7143264230782899E-3</c:v>
                </c:pt>
              </c:numCache>
            </c:numRef>
          </c:val>
          <c:extLst>
            <c:ext xmlns:c16="http://schemas.microsoft.com/office/drawing/2014/chart" uri="{C3380CC4-5D6E-409C-BE32-E72D297353CC}">
              <c16:uniqueId val="{0000000A-A84F-4AFF-90AD-1264CB609548}"/>
            </c:ext>
          </c:extLst>
        </c:ser>
        <c:ser>
          <c:idx val="11"/>
          <c:order val="11"/>
          <c:tx>
            <c:strRef>
              <c:f>Interpolation!$S$14</c:f>
              <c:strCache>
                <c:ptCount val="1"/>
                <c:pt idx="0">
                  <c:v>31.1</c:v>
                </c:pt>
              </c:strCache>
            </c:strRef>
          </c:tx>
          <c:spPr>
            <a:solidFill>
              <a:schemeClr val="accent6">
                <a:lumMod val="6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Interpolation!$T$14:$CV$14</c:f>
              <c:numCache>
                <c:formatCode>General</c:formatCode>
                <c:ptCount val="81"/>
                <c:pt idx="0">
                  <c:v>1.008462814942887E-2</c:v>
                </c:pt>
                <c:pt idx="1">
                  <c:v>9.9191326450989419E-3</c:v>
                </c:pt>
                <c:pt idx="2">
                  <c:v>9.7567470939320076E-3</c:v>
                </c:pt>
                <c:pt idx="3">
                  <c:v>9.5974714959280675E-3</c:v>
                </c:pt>
                <c:pt idx="4">
                  <c:v>9.4413058510871214E-3</c:v>
                </c:pt>
                <c:pt idx="5">
                  <c:v>9.2882501594091556E-3</c:v>
                </c:pt>
                <c:pt idx="6">
                  <c:v>9.138304420894184E-3</c:v>
                </c:pt>
                <c:pt idx="7">
                  <c:v>8.9914686355421942E-3</c:v>
                </c:pt>
                <c:pt idx="8">
                  <c:v>8.8477428033532108E-3</c:v>
                </c:pt>
                <c:pt idx="9">
                  <c:v>8.7071269243272215E-3</c:v>
                </c:pt>
                <c:pt idx="10">
                  <c:v>8.5696209984642124E-3</c:v>
                </c:pt>
                <c:pt idx="11">
                  <c:v>8.4352250257641974E-3</c:v>
                </c:pt>
                <c:pt idx="12">
                  <c:v>8.3039390062271765E-3</c:v>
                </c:pt>
                <c:pt idx="13">
                  <c:v>8.1757629398531498E-3</c:v>
                </c:pt>
                <c:pt idx="14">
                  <c:v>8.050696826642105E-3</c:v>
                </c:pt>
                <c:pt idx="15">
                  <c:v>7.9287406665940596E-3</c:v>
                </c:pt>
                <c:pt idx="16">
                  <c:v>7.8098944597090013E-3</c:v>
                </c:pt>
                <c:pt idx="17">
                  <c:v>7.6941582059869302E-3</c:v>
                </c:pt>
                <c:pt idx="18">
                  <c:v>7.5815319054278602E-3</c:v>
                </c:pt>
                <c:pt idx="19">
                  <c:v>7.4720155580317782E-3</c:v>
                </c:pt>
                <c:pt idx="20">
                  <c:v>7.3656091637986825E-3</c:v>
                </c:pt>
                <c:pt idx="21">
                  <c:v>7.2623127227285887E-3</c:v>
                </c:pt>
                <c:pt idx="22">
                  <c:v>7.1621262348214813E-3</c:v>
                </c:pt>
                <c:pt idx="23">
                  <c:v>7.065049700077361E-3</c:v>
                </c:pt>
                <c:pt idx="24">
                  <c:v>6.9710831184962348E-3</c:v>
                </c:pt>
                <c:pt idx="25">
                  <c:v>6.8802264900780967E-3</c:v>
                </c:pt>
                <c:pt idx="26">
                  <c:v>6.7924798148229588E-3</c:v>
                </c:pt>
                <c:pt idx="27">
                  <c:v>6.7078430927308089E-3</c:v>
                </c:pt>
                <c:pt idx="28">
                  <c:v>6.6263163238016454E-3</c:v>
                </c:pt>
                <c:pt idx="29">
                  <c:v>6.5478995080354759E-3</c:v>
                </c:pt>
                <c:pt idx="30">
                  <c:v>6.4725926454323006E-3</c:v>
                </c:pt>
                <c:pt idx="31">
                  <c:v>6.4003957359921133E-3</c:v>
                </c:pt>
                <c:pt idx="32">
                  <c:v>6.3313087797149193E-3</c:v>
                </c:pt>
                <c:pt idx="33">
                  <c:v>6.2653317766007124E-3</c:v>
                </c:pt>
                <c:pt idx="34">
                  <c:v>6.2024647266495005E-3</c:v>
                </c:pt>
                <c:pt idx="35">
                  <c:v>6.1427076298612819E-3</c:v>
                </c:pt>
                <c:pt idx="36">
                  <c:v>6.0860604862360505E-3</c:v>
                </c:pt>
                <c:pt idx="37">
                  <c:v>6.0325232957738131E-3</c:v>
                </c:pt>
                <c:pt idx="38">
                  <c:v>5.9820960584745708E-3</c:v>
                </c:pt>
                <c:pt idx="39">
                  <c:v>5.9347787743383148E-3</c:v>
                </c:pt>
                <c:pt idx="40">
                  <c:v>5.8905714433650459E-3</c:v>
                </c:pt>
                <c:pt idx="41">
                  <c:v>5.849474065554772E-3</c:v>
                </c:pt>
                <c:pt idx="42">
                  <c:v>5.8114866409074914E-3</c:v>
                </c:pt>
                <c:pt idx="43">
                  <c:v>5.7766091694232049E-3</c:v>
                </c:pt>
                <c:pt idx="44">
                  <c:v>5.7448416511019056E-3</c:v>
                </c:pt>
                <c:pt idx="45">
                  <c:v>5.7161840859436012E-3</c:v>
                </c:pt>
                <c:pt idx="46">
                  <c:v>5.6906364739482832E-3</c:v>
                </c:pt>
                <c:pt idx="47">
                  <c:v>5.6681988151159601E-3</c:v>
                </c:pt>
                <c:pt idx="48">
                  <c:v>5.6488711094466303E-3</c:v>
                </c:pt>
                <c:pt idx="49">
                  <c:v>5.6326533569402877E-3</c:v>
                </c:pt>
                <c:pt idx="50">
                  <c:v>5.6195455575969323E-3</c:v>
                </c:pt>
                <c:pt idx="51">
                  <c:v>5.6095477114165787E-3</c:v>
                </c:pt>
                <c:pt idx="52">
                  <c:v>5.6026598183992115E-3</c:v>
                </c:pt>
                <c:pt idx="53">
                  <c:v>5.5988818785448315E-3</c:v>
                </c:pt>
                <c:pt idx="54">
                  <c:v>5.5982138918534465E-3</c:v>
                </c:pt>
                <c:pt idx="55">
                  <c:v>5.6006558583250616E-3</c:v>
                </c:pt>
                <c:pt idx="56">
                  <c:v>5.606207777959657E-3</c:v>
                </c:pt>
                <c:pt idx="57">
                  <c:v>5.6148696507572465E-3</c:v>
                </c:pt>
                <c:pt idx="58">
                  <c:v>5.6266414767178231E-3</c:v>
                </c:pt>
                <c:pt idx="59">
                  <c:v>5.6415232558414026E-3</c:v>
                </c:pt>
                <c:pt idx="60">
                  <c:v>5.6595149881279606E-3</c:v>
                </c:pt>
                <c:pt idx="61">
                  <c:v>5.6806166735775196E-3</c:v>
                </c:pt>
                <c:pt idx="62">
                  <c:v>5.7048283121900589E-3</c:v>
                </c:pt>
                <c:pt idx="63">
                  <c:v>5.7321499039656061E-3</c:v>
                </c:pt>
                <c:pt idx="64">
                  <c:v>5.7625814489041345E-3</c:v>
                </c:pt>
                <c:pt idx="65">
                  <c:v>5.7961229470056492E-3</c:v>
                </c:pt>
                <c:pt idx="66">
                  <c:v>5.8327743982701649E-3</c:v>
                </c:pt>
                <c:pt idx="67">
                  <c:v>5.8725358026976687E-3</c:v>
                </c:pt>
                <c:pt idx="68">
                  <c:v>5.9154071602881657E-3</c:v>
                </c:pt>
                <c:pt idx="69">
                  <c:v>5.9613884710416499E-3</c:v>
                </c:pt>
                <c:pt idx="70">
                  <c:v>6.0104797349581282E-3</c:v>
                </c:pt>
                <c:pt idx="71">
                  <c:v>6.0626809520375937E-3</c:v>
                </c:pt>
                <c:pt idx="72">
                  <c:v>6.1179921222800551E-3</c:v>
                </c:pt>
                <c:pt idx="73">
                  <c:v>6.1764132456855088E-3</c:v>
                </c:pt>
                <c:pt idx="74">
                  <c:v>6.2379443222539428E-3</c:v>
                </c:pt>
                <c:pt idx="75">
                  <c:v>6.3025853519853847E-3</c:v>
                </c:pt>
                <c:pt idx="76">
                  <c:v>6.3703363348798069E-3</c:v>
                </c:pt>
                <c:pt idx="77">
                  <c:v>6.4411972709372232E-3</c:v>
                </c:pt>
                <c:pt idx="78">
                  <c:v>6.5151681601576346E-3</c:v>
                </c:pt>
                <c:pt idx="79">
                  <c:v>6.59224900254104E-3</c:v>
                </c:pt>
                <c:pt idx="80">
                  <c:v>6.6724397980874248E-3</c:v>
                </c:pt>
              </c:numCache>
            </c:numRef>
          </c:val>
          <c:extLst>
            <c:ext xmlns:c16="http://schemas.microsoft.com/office/drawing/2014/chart" uri="{C3380CC4-5D6E-409C-BE32-E72D297353CC}">
              <c16:uniqueId val="{0000000B-A84F-4AFF-90AD-1264CB609548}"/>
            </c:ext>
          </c:extLst>
        </c:ser>
        <c:ser>
          <c:idx val="12"/>
          <c:order val="12"/>
          <c:tx>
            <c:strRef>
              <c:f>Interpolation!$S$15</c:f>
              <c:strCache>
                <c:ptCount val="1"/>
                <c:pt idx="0">
                  <c:v>31.2</c:v>
                </c:pt>
              </c:strCache>
            </c:strRef>
          </c:tx>
          <c:spPr>
            <a:solidFill>
              <a:schemeClr val="accent1">
                <a:lumMod val="80000"/>
                <a:lumOff val="2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Interpolation!$T$15:$CV$15</c:f>
              <c:numCache>
                <c:formatCode>General</c:formatCode>
                <c:ptCount val="81"/>
                <c:pt idx="0">
                  <c:v>1.005126042478348E-2</c:v>
                </c:pt>
                <c:pt idx="1">
                  <c:v>9.8856696898708182E-3</c:v>
                </c:pt>
                <c:pt idx="2">
                  <c:v>9.7231889081211519E-3</c:v>
                </c:pt>
                <c:pt idx="3">
                  <c:v>9.5638180795344779E-3</c:v>
                </c:pt>
                <c:pt idx="4">
                  <c:v>9.4075572041107999E-3</c:v>
                </c:pt>
                <c:pt idx="5">
                  <c:v>9.2544062818501003E-3</c:v>
                </c:pt>
                <c:pt idx="6">
                  <c:v>9.1043653127523966E-3</c:v>
                </c:pt>
                <c:pt idx="7">
                  <c:v>8.9574342968176714E-3</c:v>
                </c:pt>
                <c:pt idx="8">
                  <c:v>8.8136132340459541E-3</c:v>
                </c:pt>
                <c:pt idx="9">
                  <c:v>8.6729021244372328E-3</c:v>
                </c:pt>
                <c:pt idx="10">
                  <c:v>8.5353009679914899E-3</c:v>
                </c:pt>
                <c:pt idx="11">
                  <c:v>8.4008097647087429E-3</c:v>
                </c:pt>
                <c:pt idx="12">
                  <c:v>8.2694285145889883E-3</c:v>
                </c:pt>
                <c:pt idx="13">
                  <c:v>8.1411572176322295E-3</c:v>
                </c:pt>
                <c:pt idx="14">
                  <c:v>8.0159958738384492E-3</c:v>
                </c:pt>
                <c:pt idx="15">
                  <c:v>7.8939444832076718E-3</c:v>
                </c:pt>
                <c:pt idx="16">
                  <c:v>7.7750030457398797E-3</c:v>
                </c:pt>
                <c:pt idx="17">
                  <c:v>7.6591715614350757E-3</c:v>
                </c:pt>
                <c:pt idx="18">
                  <c:v>7.5464500302932728E-3</c:v>
                </c:pt>
                <c:pt idx="19">
                  <c:v>7.436838452314457E-3</c:v>
                </c:pt>
                <c:pt idx="20">
                  <c:v>7.3303368274986284E-3</c:v>
                </c:pt>
                <c:pt idx="21">
                  <c:v>7.2269451558458009E-3</c:v>
                </c:pt>
                <c:pt idx="22">
                  <c:v>7.1266634373559606E-3</c:v>
                </c:pt>
                <c:pt idx="23">
                  <c:v>7.0294916720291074E-3</c:v>
                </c:pt>
                <c:pt idx="24">
                  <c:v>6.9354298598652483E-3</c:v>
                </c:pt>
                <c:pt idx="25">
                  <c:v>6.8444780008643765E-3</c:v>
                </c:pt>
                <c:pt idx="26">
                  <c:v>6.7566360950265057E-3</c:v>
                </c:pt>
                <c:pt idx="27">
                  <c:v>6.671904142351622E-3</c:v>
                </c:pt>
                <c:pt idx="28">
                  <c:v>6.5902821428397255E-3</c:v>
                </c:pt>
                <c:pt idx="29">
                  <c:v>6.5117700964908223E-3</c:v>
                </c:pt>
                <c:pt idx="30">
                  <c:v>6.436368003304915E-3</c:v>
                </c:pt>
                <c:pt idx="31">
                  <c:v>6.3640758632819939E-3</c:v>
                </c:pt>
                <c:pt idx="32">
                  <c:v>6.294893676422067E-3</c:v>
                </c:pt>
                <c:pt idx="33">
                  <c:v>6.2288214427251264E-3</c:v>
                </c:pt>
                <c:pt idx="34">
                  <c:v>6.1658591621911807E-3</c:v>
                </c:pt>
                <c:pt idx="35">
                  <c:v>6.1060068348202292E-3</c:v>
                </c:pt>
                <c:pt idx="36">
                  <c:v>6.0492644606122649E-3</c:v>
                </c:pt>
                <c:pt idx="37">
                  <c:v>5.9956320395672946E-3</c:v>
                </c:pt>
                <c:pt idx="38">
                  <c:v>5.9451095716853185E-3</c:v>
                </c:pt>
                <c:pt idx="39">
                  <c:v>5.8976970569663296E-3</c:v>
                </c:pt>
                <c:pt idx="40">
                  <c:v>5.8533944954103278E-3</c:v>
                </c:pt>
                <c:pt idx="41">
                  <c:v>5.8122018870173202E-3</c:v>
                </c:pt>
                <c:pt idx="42">
                  <c:v>5.7741192317873067E-3</c:v>
                </c:pt>
                <c:pt idx="43">
                  <c:v>5.7391465297202873E-3</c:v>
                </c:pt>
                <c:pt idx="44">
                  <c:v>5.7072837808162542E-3</c:v>
                </c:pt>
                <c:pt idx="45">
                  <c:v>5.6785309850752169E-3</c:v>
                </c:pt>
                <c:pt idx="46">
                  <c:v>5.6528881424971651E-3</c:v>
                </c:pt>
                <c:pt idx="47">
                  <c:v>5.6303552530821092E-3</c:v>
                </c:pt>
                <c:pt idx="48">
                  <c:v>5.6109323168300465E-3</c:v>
                </c:pt>
                <c:pt idx="49">
                  <c:v>5.594619333740971E-3</c:v>
                </c:pt>
                <c:pt idx="50">
                  <c:v>5.5814163038148817E-3</c:v>
                </c:pt>
                <c:pt idx="51">
                  <c:v>5.5713232270517953E-3</c:v>
                </c:pt>
                <c:pt idx="52">
                  <c:v>5.5643401034516943E-3</c:v>
                </c:pt>
                <c:pt idx="53">
                  <c:v>5.5604669330145814E-3</c:v>
                </c:pt>
                <c:pt idx="54">
                  <c:v>5.5597037157404626E-3</c:v>
                </c:pt>
                <c:pt idx="55">
                  <c:v>5.5620504516293448E-3</c:v>
                </c:pt>
                <c:pt idx="56">
                  <c:v>5.5675071406812073E-3</c:v>
                </c:pt>
                <c:pt idx="57">
                  <c:v>5.576073782896063E-3</c:v>
                </c:pt>
                <c:pt idx="58">
                  <c:v>5.5877503782739077E-3</c:v>
                </c:pt>
                <c:pt idx="59">
                  <c:v>5.6025369268147525E-3</c:v>
                </c:pt>
                <c:pt idx="60">
                  <c:v>5.6204334285185776E-3</c:v>
                </c:pt>
                <c:pt idx="61">
                  <c:v>5.6414398833854037E-3</c:v>
                </c:pt>
                <c:pt idx="62">
                  <c:v>5.6655562914152101E-3</c:v>
                </c:pt>
                <c:pt idx="63">
                  <c:v>5.6927826526080244E-3</c:v>
                </c:pt>
                <c:pt idx="64">
                  <c:v>5.723118966963819E-3</c:v>
                </c:pt>
                <c:pt idx="65">
                  <c:v>5.7565652344825999E-3</c:v>
                </c:pt>
                <c:pt idx="66">
                  <c:v>5.7931214551643836E-3</c:v>
                </c:pt>
                <c:pt idx="67">
                  <c:v>5.8327876290091528E-3</c:v>
                </c:pt>
                <c:pt idx="68">
                  <c:v>5.8755637560169169E-3</c:v>
                </c:pt>
                <c:pt idx="69">
                  <c:v>5.9214498361876682E-3</c:v>
                </c:pt>
                <c:pt idx="70">
                  <c:v>5.9704458695214136E-3</c:v>
                </c:pt>
                <c:pt idx="71">
                  <c:v>6.0225518560181462E-3</c:v>
                </c:pt>
                <c:pt idx="72">
                  <c:v>6.0777677956778738E-3</c:v>
                </c:pt>
                <c:pt idx="73">
                  <c:v>6.1360936885005938E-3</c:v>
                </c:pt>
                <c:pt idx="74">
                  <c:v>6.1975295344862957E-3</c:v>
                </c:pt>
                <c:pt idx="75">
                  <c:v>6.2620753336350039E-3</c:v>
                </c:pt>
                <c:pt idx="76">
                  <c:v>6.3297310859466932E-3</c:v>
                </c:pt>
                <c:pt idx="77">
                  <c:v>6.4004967914213767E-3</c:v>
                </c:pt>
                <c:pt idx="78">
                  <c:v>6.4743724500590533E-3</c:v>
                </c:pt>
                <c:pt idx="79">
                  <c:v>6.5513580618597259E-3</c:v>
                </c:pt>
                <c:pt idx="80">
                  <c:v>6.6314536268233769E-3</c:v>
                </c:pt>
              </c:numCache>
            </c:numRef>
          </c:val>
          <c:extLst>
            <c:ext xmlns:c16="http://schemas.microsoft.com/office/drawing/2014/chart" uri="{C3380CC4-5D6E-409C-BE32-E72D297353CC}">
              <c16:uniqueId val="{0000000C-A84F-4AFF-90AD-1264CB609548}"/>
            </c:ext>
          </c:extLst>
        </c:ser>
        <c:ser>
          <c:idx val="13"/>
          <c:order val="13"/>
          <c:tx>
            <c:strRef>
              <c:f>Interpolation!$S$16</c:f>
              <c:strCache>
                <c:ptCount val="1"/>
                <c:pt idx="0">
                  <c:v>31.3</c:v>
                </c:pt>
              </c:strCache>
            </c:strRef>
          </c:tx>
          <c:spPr>
            <a:solidFill>
              <a:schemeClr val="accent2">
                <a:lumMod val="80000"/>
                <a:lumOff val="2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Interpolation!$T$16:$CV$16</c:f>
              <c:numCache>
                <c:formatCode>General</c:formatCode>
                <c:ptCount val="81"/>
                <c:pt idx="0">
                  <c:v>1.0018793153864902E-2</c:v>
                </c:pt>
                <c:pt idx="1">
                  <c:v>9.8531071883695073E-3</c:v>
                </c:pt>
                <c:pt idx="2">
                  <c:v>9.6905311760371055E-3</c:v>
                </c:pt>
                <c:pt idx="3">
                  <c:v>9.5310651168676996E-3</c:v>
                </c:pt>
                <c:pt idx="4">
                  <c:v>9.3747090108612877E-3</c:v>
                </c:pt>
                <c:pt idx="5">
                  <c:v>9.2214628580178561E-3</c:v>
                </c:pt>
                <c:pt idx="6">
                  <c:v>9.0713266583374186E-3</c:v>
                </c:pt>
                <c:pt idx="7">
                  <c:v>8.9243004118199597E-3</c:v>
                </c:pt>
                <c:pt idx="8">
                  <c:v>8.7803841184655104E-3</c:v>
                </c:pt>
                <c:pt idx="9">
                  <c:v>8.6395777782740553E-3</c:v>
                </c:pt>
                <c:pt idx="10">
                  <c:v>8.5018813912455804E-3</c:v>
                </c:pt>
                <c:pt idx="11">
                  <c:v>8.3672949573800996E-3</c:v>
                </c:pt>
                <c:pt idx="12">
                  <c:v>8.2358184766776112E-3</c:v>
                </c:pt>
                <c:pt idx="13">
                  <c:v>8.1074519491381187E-3</c:v>
                </c:pt>
                <c:pt idx="14">
                  <c:v>7.9821953747616064E-3</c:v>
                </c:pt>
                <c:pt idx="15">
                  <c:v>7.8600487535480951E-3</c:v>
                </c:pt>
                <c:pt idx="16">
                  <c:v>7.7410120854975702E-3</c:v>
                </c:pt>
                <c:pt idx="17">
                  <c:v>7.6250853706100324E-3</c:v>
                </c:pt>
                <c:pt idx="18">
                  <c:v>7.5122686088854966E-3</c:v>
                </c:pt>
                <c:pt idx="19">
                  <c:v>7.4025618003239479E-3</c:v>
                </c:pt>
                <c:pt idx="20">
                  <c:v>7.2959649449253856E-3</c:v>
                </c:pt>
                <c:pt idx="21">
                  <c:v>7.1924780426898252E-3</c:v>
                </c:pt>
                <c:pt idx="22">
                  <c:v>7.0921010936172511E-3</c:v>
                </c:pt>
                <c:pt idx="23">
                  <c:v>6.994834097707665E-3</c:v>
                </c:pt>
                <c:pt idx="24">
                  <c:v>6.9006770549610722E-3</c:v>
                </c:pt>
                <c:pt idx="25">
                  <c:v>6.8096299653774674E-3</c:v>
                </c:pt>
                <c:pt idx="26">
                  <c:v>6.7216928289568637E-3</c:v>
                </c:pt>
                <c:pt idx="27">
                  <c:v>6.6368656456992463E-3</c:v>
                </c:pt>
                <c:pt idx="28">
                  <c:v>6.5551484156046169E-3</c:v>
                </c:pt>
                <c:pt idx="29">
                  <c:v>6.4765411386729808E-3</c:v>
                </c:pt>
                <c:pt idx="30">
                  <c:v>6.4010438149043397E-3</c:v>
                </c:pt>
                <c:pt idx="31">
                  <c:v>6.3286564442986849E-3</c:v>
                </c:pt>
                <c:pt idx="32">
                  <c:v>6.259379026856025E-3</c:v>
                </c:pt>
                <c:pt idx="33">
                  <c:v>6.1932115625763524E-3</c:v>
                </c:pt>
                <c:pt idx="34">
                  <c:v>6.130154051459673E-3</c:v>
                </c:pt>
                <c:pt idx="35">
                  <c:v>6.0702064935059885E-3</c:v>
                </c:pt>
                <c:pt idx="36">
                  <c:v>6.0133688887152904E-3</c:v>
                </c:pt>
                <c:pt idx="37">
                  <c:v>5.9596412370875873E-3</c:v>
                </c:pt>
                <c:pt idx="38">
                  <c:v>5.9090235386228774E-3</c:v>
                </c:pt>
                <c:pt idx="39">
                  <c:v>5.8615157933211556E-3</c:v>
                </c:pt>
                <c:pt idx="40">
                  <c:v>5.8171180011824201E-3</c:v>
                </c:pt>
                <c:pt idx="41">
                  <c:v>5.7758301622066795E-3</c:v>
                </c:pt>
                <c:pt idx="42">
                  <c:v>5.7376522763939331E-3</c:v>
                </c:pt>
                <c:pt idx="43">
                  <c:v>5.7025843437441799E-3</c:v>
                </c:pt>
                <c:pt idx="44">
                  <c:v>5.670626364257414E-3</c:v>
                </c:pt>
                <c:pt idx="45">
                  <c:v>5.6417783379336429E-3</c:v>
                </c:pt>
                <c:pt idx="46">
                  <c:v>5.6160402647728591E-3</c:v>
                </c:pt>
                <c:pt idx="47">
                  <c:v>5.5934121447750694E-3</c:v>
                </c:pt>
                <c:pt idx="48">
                  <c:v>5.5738939779402729E-3</c:v>
                </c:pt>
                <c:pt idx="49">
                  <c:v>5.5574857642684645E-3</c:v>
                </c:pt>
                <c:pt idx="50">
                  <c:v>5.5441875037596424E-3</c:v>
                </c:pt>
                <c:pt idx="51">
                  <c:v>5.5339991964138222E-3</c:v>
                </c:pt>
                <c:pt idx="52">
                  <c:v>5.5269208422309892E-3</c:v>
                </c:pt>
                <c:pt idx="53">
                  <c:v>5.5229524412111425E-3</c:v>
                </c:pt>
                <c:pt idx="54">
                  <c:v>5.5220939933542899E-3</c:v>
                </c:pt>
                <c:pt idx="55">
                  <c:v>5.5243454986604393E-3</c:v>
                </c:pt>
                <c:pt idx="56">
                  <c:v>5.5297069571295689E-3</c:v>
                </c:pt>
                <c:pt idx="57">
                  <c:v>5.5381783687616917E-3</c:v>
                </c:pt>
                <c:pt idx="58">
                  <c:v>5.5497597335568017E-3</c:v>
                </c:pt>
                <c:pt idx="59">
                  <c:v>5.5644510515149136E-3</c:v>
                </c:pt>
                <c:pt idx="60">
                  <c:v>5.5822523226360058E-3</c:v>
                </c:pt>
                <c:pt idx="61">
                  <c:v>5.603163546920099E-3</c:v>
                </c:pt>
                <c:pt idx="62">
                  <c:v>5.6271847243671725E-3</c:v>
                </c:pt>
                <c:pt idx="63">
                  <c:v>5.6543158549772531E-3</c:v>
                </c:pt>
                <c:pt idx="64">
                  <c:v>5.6845569387503139E-3</c:v>
                </c:pt>
                <c:pt idx="65">
                  <c:v>5.7179079756863628E-3</c:v>
                </c:pt>
                <c:pt idx="66">
                  <c:v>5.7543689657854119E-3</c:v>
                </c:pt>
                <c:pt idx="67">
                  <c:v>5.7939399090474481E-3</c:v>
                </c:pt>
                <c:pt idx="68">
                  <c:v>5.8366208054724793E-3</c:v>
                </c:pt>
                <c:pt idx="69">
                  <c:v>5.8824116550604977E-3</c:v>
                </c:pt>
                <c:pt idx="70">
                  <c:v>5.9313124578115103E-3</c:v>
                </c:pt>
                <c:pt idx="71">
                  <c:v>5.9833232137255091E-3</c:v>
                </c:pt>
                <c:pt idx="72">
                  <c:v>6.0384439228025029E-3</c:v>
                </c:pt>
                <c:pt idx="73">
                  <c:v>6.09667458504249E-3</c:v>
                </c:pt>
                <c:pt idx="74">
                  <c:v>6.1580152004454582E-3</c:v>
                </c:pt>
                <c:pt idx="75">
                  <c:v>6.2224657690114343E-3</c:v>
                </c:pt>
                <c:pt idx="76">
                  <c:v>6.2900262907403899E-3</c:v>
                </c:pt>
                <c:pt idx="77">
                  <c:v>6.3606967656323395E-3</c:v>
                </c:pt>
                <c:pt idx="78">
                  <c:v>6.4344771936872842E-3</c:v>
                </c:pt>
                <c:pt idx="79">
                  <c:v>6.5113675749052229E-3</c:v>
                </c:pt>
                <c:pt idx="80">
                  <c:v>6.5913679092861419E-3</c:v>
                </c:pt>
              </c:numCache>
            </c:numRef>
          </c:val>
          <c:extLst>
            <c:ext xmlns:c16="http://schemas.microsoft.com/office/drawing/2014/chart" uri="{C3380CC4-5D6E-409C-BE32-E72D297353CC}">
              <c16:uniqueId val="{0000000D-A84F-4AFF-90AD-1264CB609548}"/>
            </c:ext>
          </c:extLst>
        </c:ser>
        <c:ser>
          <c:idx val="14"/>
          <c:order val="14"/>
          <c:tx>
            <c:strRef>
              <c:f>Interpolation!$S$17</c:f>
              <c:strCache>
                <c:ptCount val="1"/>
                <c:pt idx="0">
                  <c:v>31.4</c:v>
                </c:pt>
              </c:strCache>
            </c:strRef>
          </c:tx>
          <c:spPr>
            <a:solidFill>
              <a:schemeClr val="accent3">
                <a:lumMod val="80000"/>
                <a:lumOff val="2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Interpolation!$T$17:$CV$17</c:f>
              <c:numCache>
                <c:formatCode>General</c:formatCode>
                <c:ptCount val="81"/>
                <c:pt idx="0">
                  <c:v>9.9872263366731478E-3</c:v>
                </c:pt>
                <c:pt idx="1">
                  <c:v>9.8214451405950198E-3</c:v>
                </c:pt>
                <c:pt idx="2">
                  <c:v>9.658773897679886E-3</c:v>
                </c:pt>
                <c:pt idx="3">
                  <c:v>9.4992126079277463E-3</c:v>
                </c:pt>
                <c:pt idx="4">
                  <c:v>9.3427612713386007E-3</c:v>
                </c:pt>
                <c:pt idx="5">
                  <c:v>9.189419887912437E-3</c:v>
                </c:pt>
                <c:pt idx="6">
                  <c:v>9.0391884576492658E-3</c:v>
                </c:pt>
                <c:pt idx="7">
                  <c:v>8.8920669805490748E-3</c:v>
                </c:pt>
                <c:pt idx="8">
                  <c:v>8.7480554566118918E-3</c:v>
                </c:pt>
                <c:pt idx="9">
                  <c:v>8.6071538858377029E-3</c:v>
                </c:pt>
                <c:pt idx="10">
                  <c:v>8.4693622682264942E-3</c:v>
                </c:pt>
                <c:pt idx="11">
                  <c:v>8.3346806037782797E-3</c:v>
                </c:pt>
                <c:pt idx="12">
                  <c:v>8.2031088924930592E-3</c:v>
                </c:pt>
                <c:pt idx="13">
                  <c:v>8.0746471343708329E-3</c:v>
                </c:pt>
                <c:pt idx="14">
                  <c:v>7.9492953294115869E-3</c:v>
                </c:pt>
                <c:pt idx="15">
                  <c:v>7.8270534776153436E-3</c:v>
                </c:pt>
                <c:pt idx="16">
                  <c:v>7.7079215789820849E-3</c:v>
                </c:pt>
                <c:pt idx="17">
                  <c:v>7.5918996335118142E-3</c:v>
                </c:pt>
                <c:pt idx="18">
                  <c:v>7.4789876412045455E-3</c:v>
                </c:pt>
                <c:pt idx="19">
                  <c:v>7.3691856020602631E-3</c:v>
                </c:pt>
                <c:pt idx="20">
                  <c:v>7.2624935160789678E-3</c:v>
                </c:pt>
                <c:pt idx="21">
                  <c:v>7.1589113832606736E-3</c:v>
                </c:pt>
                <c:pt idx="22">
                  <c:v>7.0584392036053666E-3</c:v>
                </c:pt>
                <c:pt idx="23">
                  <c:v>6.9610769771130468E-3</c:v>
                </c:pt>
                <c:pt idx="24">
                  <c:v>6.8668247037837219E-3</c:v>
                </c:pt>
                <c:pt idx="25">
                  <c:v>6.7756823836173834E-3</c:v>
                </c:pt>
                <c:pt idx="26">
                  <c:v>6.6876500166140468E-3</c:v>
                </c:pt>
                <c:pt idx="27">
                  <c:v>6.6027276027736965E-3</c:v>
                </c:pt>
                <c:pt idx="28">
                  <c:v>6.5209151420963334E-3</c:v>
                </c:pt>
                <c:pt idx="29">
                  <c:v>6.4422126345819643E-3</c:v>
                </c:pt>
                <c:pt idx="30">
                  <c:v>6.3666200802305895E-3</c:v>
                </c:pt>
                <c:pt idx="31">
                  <c:v>6.2941374790422017E-3</c:v>
                </c:pt>
                <c:pt idx="32">
                  <c:v>6.224764831016809E-3</c:v>
                </c:pt>
                <c:pt idx="33">
                  <c:v>6.1585021361544026E-3</c:v>
                </c:pt>
                <c:pt idx="34">
                  <c:v>6.0953493944549903E-3</c:v>
                </c:pt>
                <c:pt idx="35">
                  <c:v>6.0353066059185721E-3</c:v>
                </c:pt>
                <c:pt idx="36">
                  <c:v>5.9783737705451411E-3</c:v>
                </c:pt>
                <c:pt idx="37">
                  <c:v>5.9245508883347051E-3</c:v>
                </c:pt>
                <c:pt idx="38">
                  <c:v>5.8738379592872623E-3</c:v>
                </c:pt>
                <c:pt idx="39">
                  <c:v>5.8262349834028067E-3</c:v>
                </c:pt>
                <c:pt idx="40">
                  <c:v>5.7817419606813383E-3</c:v>
                </c:pt>
                <c:pt idx="41">
                  <c:v>5.740358891122864E-3</c:v>
                </c:pt>
                <c:pt idx="42">
                  <c:v>5.7020857747273846E-3</c:v>
                </c:pt>
                <c:pt idx="43">
                  <c:v>5.6669226114948986E-3</c:v>
                </c:pt>
                <c:pt idx="44">
                  <c:v>5.6348694014253997E-3</c:v>
                </c:pt>
                <c:pt idx="45">
                  <c:v>5.6059261445188949E-3</c:v>
                </c:pt>
                <c:pt idx="46">
                  <c:v>5.5800928407753773E-3</c:v>
                </c:pt>
                <c:pt idx="47">
                  <c:v>5.5573694901948547E-3</c:v>
                </c:pt>
                <c:pt idx="48">
                  <c:v>5.5377560927773253E-3</c:v>
                </c:pt>
                <c:pt idx="49">
                  <c:v>5.5212526485227831E-3</c:v>
                </c:pt>
                <c:pt idx="50">
                  <c:v>5.5078591574312281E-3</c:v>
                </c:pt>
                <c:pt idx="51">
                  <c:v>5.4975756195026742E-3</c:v>
                </c:pt>
                <c:pt idx="52">
                  <c:v>5.4904020347371083E-3</c:v>
                </c:pt>
                <c:pt idx="53">
                  <c:v>5.4863384031345287E-3</c:v>
                </c:pt>
                <c:pt idx="54">
                  <c:v>5.4853847246949432E-3</c:v>
                </c:pt>
                <c:pt idx="55">
                  <c:v>5.4875409994183597E-3</c:v>
                </c:pt>
                <c:pt idx="56">
                  <c:v>5.4928072273047546E-3</c:v>
                </c:pt>
                <c:pt idx="57">
                  <c:v>5.5011834083541454E-3</c:v>
                </c:pt>
                <c:pt idx="58">
                  <c:v>5.5126695425665225E-3</c:v>
                </c:pt>
                <c:pt idx="59">
                  <c:v>5.5272656299419007E-3</c:v>
                </c:pt>
                <c:pt idx="60">
                  <c:v>5.5449716704802591E-3</c:v>
                </c:pt>
                <c:pt idx="61">
                  <c:v>5.5657876641816185E-3</c:v>
                </c:pt>
                <c:pt idx="62">
                  <c:v>5.5897136110459591E-3</c:v>
                </c:pt>
                <c:pt idx="63">
                  <c:v>5.6167495110733068E-3</c:v>
                </c:pt>
                <c:pt idx="64">
                  <c:v>5.6468953642636356E-3</c:v>
                </c:pt>
                <c:pt idx="65">
                  <c:v>5.6801511706169499E-3</c:v>
                </c:pt>
                <c:pt idx="66">
                  <c:v>5.7165169301332669E-3</c:v>
                </c:pt>
                <c:pt idx="67">
                  <c:v>5.7559926428125702E-3</c:v>
                </c:pt>
                <c:pt idx="68">
                  <c:v>5.7985783086548677E-3</c:v>
                </c:pt>
                <c:pt idx="69">
                  <c:v>5.8442739276601523E-3</c:v>
                </c:pt>
                <c:pt idx="70">
                  <c:v>5.8930794998284311E-3</c:v>
                </c:pt>
                <c:pt idx="71">
                  <c:v>5.944995025159697E-3</c:v>
                </c:pt>
                <c:pt idx="72">
                  <c:v>6.000020503653958E-3</c:v>
                </c:pt>
                <c:pt idx="73">
                  <c:v>6.058155935311213E-3</c:v>
                </c:pt>
                <c:pt idx="74">
                  <c:v>6.1194013201314474E-3</c:v>
                </c:pt>
                <c:pt idx="75">
                  <c:v>6.1837566581146889E-3</c:v>
                </c:pt>
                <c:pt idx="76">
                  <c:v>6.2512219492609124E-3</c:v>
                </c:pt>
                <c:pt idx="77">
                  <c:v>6.3217971935701292E-3</c:v>
                </c:pt>
                <c:pt idx="78">
                  <c:v>6.3954823910423401E-3</c:v>
                </c:pt>
                <c:pt idx="79">
                  <c:v>6.4722775416775451E-3</c:v>
                </c:pt>
                <c:pt idx="80">
                  <c:v>6.5521826454757303E-3</c:v>
                </c:pt>
              </c:numCache>
            </c:numRef>
          </c:val>
          <c:extLst>
            <c:ext xmlns:c16="http://schemas.microsoft.com/office/drawing/2014/chart" uri="{C3380CC4-5D6E-409C-BE32-E72D297353CC}">
              <c16:uniqueId val="{0000000E-A84F-4AFF-90AD-1264CB609548}"/>
            </c:ext>
          </c:extLst>
        </c:ser>
        <c:ser>
          <c:idx val="15"/>
          <c:order val="15"/>
          <c:tx>
            <c:strRef>
              <c:f>Interpolation!$S$18</c:f>
              <c:strCache>
                <c:ptCount val="1"/>
                <c:pt idx="0">
                  <c:v>31.5</c:v>
                </c:pt>
              </c:strCache>
            </c:strRef>
          </c:tx>
          <c:spPr>
            <a:solidFill>
              <a:schemeClr val="accent4">
                <a:lumMod val="80000"/>
                <a:lumOff val="2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Interpolation!$T$18:$CV$18</c:f>
              <c:numCache>
                <c:formatCode>General</c:formatCode>
                <c:ptCount val="81"/>
                <c:pt idx="0">
                  <c:v>9.9565599732082052E-3</c:v>
                </c:pt>
                <c:pt idx="1">
                  <c:v>9.7906835465473453E-3</c:v>
                </c:pt>
                <c:pt idx="2">
                  <c:v>9.6279170730494777E-3</c:v>
                </c:pt>
                <c:pt idx="3">
                  <c:v>9.4682605527146042E-3</c:v>
                </c:pt>
                <c:pt idx="4">
                  <c:v>9.3117139855427265E-3</c:v>
                </c:pt>
                <c:pt idx="5">
                  <c:v>9.1582773715338274E-3</c:v>
                </c:pt>
                <c:pt idx="6">
                  <c:v>9.0079507106879241E-3</c:v>
                </c:pt>
                <c:pt idx="7">
                  <c:v>8.8607340030049993E-3</c:v>
                </c:pt>
                <c:pt idx="8">
                  <c:v>8.7166272484850843E-3</c:v>
                </c:pt>
                <c:pt idx="9">
                  <c:v>8.5756304471281616E-3</c:v>
                </c:pt>
                <c:pt idx="10">
                  <c:v>8.4377435989342192E-3</c:v>
                </c:pt>
                <c:pt idx="11">
                  <c:v>8.3029667039032726E-3</c:v>
                </c:pt>
                <c:pt idx="12">
                  <c:v>8.1712997620353185E-3</c:v>
                </c:pt>
                <c:pt idx="13">
                  <c:v>8.0427427733303601E-3</c:v>
                </c:pt>
                <c:pt idx="14">
                  <c:v>7.9172957377883803E-3</c:v>
                </c:pt>
                <c:pt idx="15">
                  <c:v>7.7949586554094024E-3</c:v>
                </c:pt>
                <c:pt idx="16">
                  <c:v>7.6757315261934116E-3</c:v>
                </c:pt>
                <c:pt idx="17">
                  <c:v>7.5596143501404072E-3</c:v>
                </c:pt>
                <c:pt idx="18">
                  <c:v>7.4466071272504047E-3</c:v>
                </c:pt>
                <c:pt idx="19">
                  <c:v>7.3367098575233894E-3</c:v>
                </c:pt>
                <c:pt idx="20">
                  <c:v>7.2299225409593612E-3</c:v>
                </c:pt>
                <c:pt idx="21">
                  <c:v>7.1262451775583342E-3</c:v>
                </c:pt>
                <c:pt idx="22">
                  <c:v>7.0256777673202942E-3</c:v>
                </c:pt>
                <c:pt idx="23">
                  <c:v>6.9282203102452406E-3</c:v>
                </c:pt>
                <c:pt idx="24">
                  <c:v>6.833872806333182E-3</c:v>
                </c:pt>
                <c:pt idx="25">
                  <c:v>6.7426352555841106E-3</c:v>
                </c:pt>
                <c:pt idx="26">
                  <c:v>6.6545076579980402E-3</c:v>
                </c:pt>
                <c:pt idx="27">
                  <c:v>6.569490013574957E-3</c:v>
                </c:pt>
                <c:pt idx="28">
                  <c:v>6.487582322314861E-3</c:v>
                </c:pt>
                <c:pt idx="29">
                  <c:v>6.4087845842177582E-3</c:v>
                </c:pt>
                <c:pt idx="30">
                  <c:v>6.3330967992836504E-3</c:v>
                </c:pt>
                <c:pt idx="31">
                  <c:v>6.2605189675125298E-3</c:v>
                </c:pt>
                <c:pt idx="32">
                  <c:v>6.1910510889044033E-3</c:v>
                </c:pt>
                <c:pt idx="33">
                  <c:v>6.124693163459264E-3</c:v>
                </c:pt>
                <c:pt idx="34">
                  <c:v>6.0614451911771188E-3</c:v>
                </c:pt>
                <c:pt idx="35">
                  <c:v>6.0013071720579677E-3</c:v>
                </c:pt>
                <c:pt idx="36">
                  <c:v>5.9442791061018029E-3</c:v>
                </c:pt>
                <c:pt idx="37">
                  <c:v>5.8903609933086331E-3</c:v>
                </c:pt>
                <c:pt idx="38">
                  <c:v>5.8395528336784575E-3</c:v>
                </c:pt>
                <c:pt idx="39">
                  <c:v>5.791854627211269E-3</c:v>
                </c:pt>
                <c:pt idx="40">
                  <c:v>5.7472663739070676E-3</c:v>
                </c:pt>
                <c:pt idx="41">
                  <c:v>5.7057880737658596E-3</c:v>
                </c:pt>
                <c:pt idx="42">
                  <c:v>5.6674197267876474E-3</c:v>
                </c:pt>
                <c:pt idx="43">
                  <c:v>5.6321613329724275E-3</c:v>
                </c:pt>
                <c:pt idx="44">
                  <c:v>5.6000128923201957E-3</c:v>
                </c:pt>
                <c:pt idx="45">
                  <c:v>5.5709744048309581E-3</c:v>
                </c:pt>
                <c:pt idx="46">
                  <c:v>5.5450458705047067E-3</c:v>
                </c:pt>
                <c:pt idx="47">
                  <c:v>5.5222272893414512E-3</c:v>
                </c:pt>
                <c:pt idx="48">
                  <c:v>5.5025186613411881E-3</c:v>
                </c:pt>
                <c:pt idx="49">
                  <c:v>5.485919986503913E-3</c:v>
                </c:pt>
                <c:pt idx="50">
                  <c:v>5.4724312648296251E-3</c:v>
                </c:pt>
                <c:pt idx="51">
                  <c:v>5.4620524963183382E-3</c:v>
                </c:pt>
                <c:pt idx="52">
                  <c:v>5.4547836809700385E-3</c:v>
                </c:pt>
                <c:pt idx="53">
                  <c:v>5.4506248187847252E-3</c:v>
                </c:pt>
                <c:pt idx="54">
                  <c:v>5.4495759097624068E-3</c:v>
                </c:pt>
                <c:pt idx="55">
                  <c:v>5.4516369539030895E-3</c:v>
                </c:pt>
                <c:pt idx="56">
                  <c:v>5.4568079512067515E-3</c:v>
                </c:pt>
                <c:pt idx="57">
                  <c:v>5.4650889016734094E-3</c:v>
                </c:pt>
                <c:pt idx="58">
                  <c:v>5.4764798053030528E-3</c:v>
                </c:pt>
                <c:pt idx="59">
                  <c:v>5.4909806620956989E-3</c:v>
                </c:pt>
                <c:pt idx="60">
                  <c:v>5.5085914720513236E-3</c:v>
                </c:pt>
                <c:pt idx="61">
                  <c:v>5.529312235169951E-3</c:v>
                </c:pt>
                <c:pt idx="62">
                  <c:v>5.5531429514515569E-3</c:v>
                </c:pt>
                <c:pt idx="63">
                  <c:v>5.5800836208961717E-3</c:v>
                </c:pt>
                <c:pt idx="64">
                  <c:v>5.6101342435037668E-3</c:v>
                </c:pt>
                <c:pt idx="65">
                  <c:v>5.6432948192743481E-3</c:v>
                </c:pt>
                <c:pt idx="66">
                  <c:v>5.6795653482079314E-3</c:v>
                </c:pt>
                <c:pt idx="67">
                  <c:v>5.7189458303045018E-3</c:v>
                </c:pt>
                <c:pt idx="68">
                  <c:v>5.7614362655640664E-3</c:v>
                </c:pt>
                <c:pt idx="69">
                  <c:v>5.8070366539866181E-3</c:v>
                </c:pt>
                <c:pt idx="70">
                  <c:v>5.8557469955721631E-3</c:v>
                </c:pt>
                <c:pt idx="71">
                  <c:v>5.907567290320697E-3</c:v>
                </c:pt>
                <c:pt idx="72">
                  <c:v>5.9624975382322233E-3</c:v>
                </c:pt>
                <c:pt idx="73">
                  <c:v>6.0205377393067454E-3</c:v>
                </c:pt>
                <c:pt idx="74">
                  <c:v>6.0816878935442461E-3</c:v>
                </c:pt>
                <c:pt idx="75">
                  <c:v>6.1459480009447547E-3</c:v>
                </c:pt>
                <c:pt idx="76">
                  <c:v>6.2133180615082453E-3</c:v>
                </c:pt>
                <c:pt idx="77">
                  <c:v>6.2837980752347283E-3</c:v>
                </c:pt>
                <c:pt idx="78">
                  <c:v>6.3573880421242072E-3</c:v>
                </c:pt>
                <c:pt idx="79">
                  <c:v>6.4340879621766784E-3</c:v>
                </c:pt>
                <c:pt idx="80">
                  <c:v>6.5138978353921307E-3</c:v>
                </c:pt>
              </c:numCache>
            </c:numRef>
          </c:val>
          <c:extLst>
            <c:ext xmlns:c16="http://schemas.microsoft.com/office/drawing/2014/chart" uri="{C3380CC4-5D6E-409C-BE32-E72D297353CC}">
              <c16:uniqueId val="{0000000F-A84F-4AFF-90AD-1264CB609548}"/>
            </c:ext>
          </c:extLst>
        </c:ser>
        <c:ser>
          <c:idx val="16"/>
          <c:order val="16"/>
          <c:tx>
            <c:strRef>
              <c:f>Interpolation!$S$19</c:f>
              <c:strCache>
                <c:ptCount val="1"/>
                <c:pt idx="0">
                  <c:v>31.6</c:v>
                </c:pt>
              </c:strCache>
            </c:strRef>
          </c:tx>
          <c:spPr>
            <a:solidFill>
              <a:schemeClr val="accent5">
                <a:lumMod val="80000"/>
                <a:lumOff val="2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Interpolation!$T$19:$CV$19</c:f>
              <c:numCache>
                <c:formatCode>General</c:formatCode>
                <c:ptCount val="81"/>
                <c:pt idx="0">
                  <c:v>9.9267940634700808E-3</c:v>
                </c:pt>
                <c:pt idx="1">
                  <c:v>9.7608224062264871E-3</c:v>
                </c:pt>
                <c:pt idx="2">
                  <c:v>9.5979607021458874E-3</c:v>
                </c:pt>
                <c:pt idx="3">
                  <c:v>9.4382089512282819E-3</c:v>
                </c:pt>
                <c:pt idx="4">
                  <c:v>9.2815671534736688E-3</c:v>
                </c:pt>
                <c:pt idx="5">
                  <c:v>9.1280353088820376E-3</c:v>
                </c:pt>
                <c:pt idx="6">
                  <c:v>8.9776134174534006E-3</c:v>
                </c:pt>
                <c:pt idx="7">
                  <c:v>8.830301479187742E-3</c:v>
                </c:pt>
                <c:pt idx="8">
                  <c:v>8.6860994940850932E-3</c:v>
                </c:pt>
                <c:pt idx="9">
                  <c:v>8.5450074621454385E-3</c:v>
                </c:pt>
                <c:pt idx="10">
                  <c:v>8.4070253833687641E-3</c:v>
                </c:pt>
                <c:pt idx="11">
                  <c:v>8.272153257755082E-3</c:v>
                </c:pt>
                <c:pt idx="12">
                  <c:v>8.1403910853043958E-3</c:v>
                </c:pt>
                <c:pt idx="13">
                  <c:v>8.0117388660167037E-3</c:v>
                </c:pt>
                <c:pt idx="14">
                  <c:v>7.8861965998919918E-3</c:v>
                </c:pt>
                <c:pt idx="15">
                  <c:v>7.7637642869302801E-3</c:v>
                </c:pt>
                <c:pt idx="16">
                  <c:v>7.6444419271315556E-3</c:v>
                </c:pt>
                <c:pt idx="17">
                  <c:v>7.5282295204958183E-3</c:v>
                </c:pt>
                <c:pt idx="18">
                  <c:v>7.4151270670230829E-3</c:v>
                </c:pt>
                <c:pt idx="19">
                  <c:v>7.3051345667133338E-3</c:v>
                </c:pt>
                <c:pt idx="20">
                  <c:v>7.1982520195665728E-3</c:v>
                </c:pt>
                <c:pt idx="21">
                  <c:v>7.0944794255828119E-3</c:v>
                </c:pt>
                <c:pt idx="22">
                  <c:v>6.9938167847620391E-3</c:v>
                </c:pt>
                <c:pt idx="23">
                  <c:v>6.8962640971042526E-3</c:v>
                </c:pt>
                <c:pt idx="24">
                  <c:v>6.8018213626094611E-3</c:v>
                </c:pt>
                <c:pt idx="25">
                  <c:v>6.7104885812776559E-3</c:v>
                </c:pt>
                <c:pt idx="26">
                  <c:v>6.6222657531088526E-3</c:v>
                </c:pt>
                <c:pt idx="27">
                  <c:v>6.5371528781030357E-3</c:v>
                </c:pt>
                <c:pt idx="28">
                  <c:v>6.4551499562602067E-3</c:v>
                </c:pt>
                <c:pt idx="29">
                  <c:v>6.3762569875803711E-3</c:v>
                </c:pt>
                <c:pt idx="30">
                  <c:v>6.3004739720635295E-3</c:v>
                </c:pt>
                <c:pt idx="31">
                  <c:v>6.227800909709676E-3</c:v>
                </c:pt>
                <c:pt idx="32">
                  <c:v>6.1582378005188166E-3</c:v>
                </c:pt>
                <c:pt idx="33">
                  <c:v>6.0917846444909435E-3</c:v>
                </c:pt>
                <c:pt idx="34">
                  <c:v>6.0284414416260645E-3</c:v>
                </c:pt>
                <c:pt idx="35">
                  <c:v>5.9682081919241806E-3</c:v>
                </c:pt>
                <c:pt idx="36">
                  <c:v>5.9110848953852829E-3</c:v>
                </c:pt>
                <c:pt idx="37">
                  <c:v>5.8570715520093802E-3</c:v>
                </c:pt>
                <c:pt idx="38">
                  <c:v>5.8061681617964708E-3</c:v>
                </c:pt>
                <c:pt idx="39">
                  <c:v>5.7583747247465494E-3</c:v>
                </c:pt>
                <c:pt idx="40">
                  <c:v>5.7136912408596143E-3</c:v>
                </c:pt>
                <c:pt idx="41">
                  <c:v>5.6721177101356742E-3</c:v>
                </c:pt>
                <c:pt idx="42">
                  <c:v>5.6336541325747273E-3</c:v>
                </c:pt>
                <c:pt idx="43">
                  <c:v>5.5983005081767755E-3</c:v>
                </c:pt>
                <c:pt idx="44">
                  <c:v>5.5660568369418099E-3</c:v>
                </c:pt>
                <c:pt idx="45">
                  <c:v>5.5369231188698385E-3</c:v>
                </c:pt>
                <c:pt idx="46">
                  <c:v>5.5108993539608551E-3</c:v>
                </c:pt>
                <c:pt idx="47">
                  <c:v>5.4879855422148658E-3</c:v>
                </c:pt>
                <c:pt idx="48">
                  <c:v>5.4681816836318698E-3</c:v>
                </c:pt>
                <c:pt idx="49">
                  <c:v>5.4514877782118609E-3</c:v>
                </c:pt>
                <c:pt idx="50">
                  <c:v>5.4379038259548401E-3</c:v>
                </c:pt>
                <c:pt idx="51">
                  <c:v>5.4274298268608204E-3</c:v>
                </c:pt>
                <c:pt idx="52">
                  <c:v>5.4200657809297869E-3</c:v>
                </c:pt>
                <c:pt idx="53">
                  <c:v>5.4158116881617407E-3</c:v>
                </c:pt>
                <c:pt idx="54">
                  <c:v>5.4146675485566894E-3</c:v>
                </c:pt>
                <c:pt idx="55">
                  <c:v>5.4166333621146392E-3</c:v>
                </c:pt>
                <c:pt idx="56">
                  <c:v>5.4217091288355675E-3</c:v>
                </c:pt>
                <c:pt idx="57">
                  <c:v>5.4298948487194916E-3</c:v>
                </c:pt>
                <c:pt idx="58">
                  <c:v>5.441190521766402E-3</c:v>
                </c:pt>
                <c:pt idx="59">
                  <c:v>5.4555961479763144E-3</c:v>
                </c:pt>
                <c:pt idx="60">
                  <c:v>5.4731117273492062E-3</c:v>
                </c:pt>
                <c:pt idx="61">
                  <c:v>5.4937372598850998E-3</c:v>
                </c:pt>
                <c:pt idx="62">
                  <c:v>5.5174727455839737E-3</c:v>
                </c:pt>
                <c:pt idx="63">
                  <c:v>5.5443181844458548E-3</c:v>
                </c:pt>
                <c:pt idx="64">
                  <c:v>5.574273576470716E-3</c:v>
                </c:pt>
                <c:pt idx="65">
                  <c:v>5.6073389216585653E-3</c:v>
                </c:pt>
                <c:pt idx="66">
                  <c:v>5.6435142200094148E-3</c:v>
                </c:pt>
                <c:pt idx="67">
                  <c:v>5.6827994715232515E-3</c:v>
                </c:pt>
                <c:pt idx="68">
                  <c:v>5.7251946762000832E-3</c:v>
                </c:pt>
                <c:pt idx="69">
                  <c:v>5.770699834039902E-3</c:v>
                </c:pt>
                <c:pt idx="70">
                  <c:v>5.8193149450427141E-3</c:v>
                </c:pt>
                <c:pt idx="71">
                  <c:v>5.8710400092085134E-3</c:v>
                </c:pt>
                <c:pt idx="72">
                  <c:v>5.9258750265373077E-3</c:v>
                </c:pt>
                <c:pt idx="73">
                  <c:v>5.983819997029096E-3</c:v>
                </c:pt>
                <c:pt idx="74">
                  <c:v>6.0448749206838646E-3</c:v>
                </c:pt>
                <c:pt idx="75">
                  <c:v>6.1090397975016395E-3</c:v>
                </c:pt>
                <c:pt idx="76">
                  <c:v>6.1763146274823964E-3</c:v>
                </c:pt>
                <c:pt idx="77">
                  <c:v>6.2466994106261465E-3</c:v>
                </c:pt>
                <c:pt idx="78">
                  <c:v>6.3201941469328907E-3</c:v>
                </c:pt>
                <c:pt idx="79">
                  <c:v>6.3967988364026299E-3</c:v>
                </c:pt>
                <c:pt idx="80">
                  <c:v>6.4765134790353493E-3</c:v>
                </c:pt>
              </c:numCache>
            </c:numRef>
          </c:val>
          <c:extLst>
            <c:ext xmlns:c16="http://schemas.microsoft.com/office/drawing/2014/chart" uri="{C3380CC4-5D6E-409C-BE32-E72D297353CC}">
              <c16:uniqueId val="{00000010-A84F-4AFF-90AD-1264CB609548}"/>
            </c:ext>
          </c:extLst>
        </c:ser>
        <c:ser>
          <c:idx val="17"/>
          <c:order val="17"/>
          <c:tx>
            <c:strRef>
              <c:f>Interpolation!$S$20</c:f>
              <c:strCache>
                <c:ptCount val="1"/>
                <c:pt idx="0">
                  <c:v>31.7</c:v>
                </c:pt>
              </c:strCache>
            </c:strRef>
          </c:tx>
          <c:spPr>
            <a:solidFill>
              <a:schemeClr val="accent6">
                <a:lumMod val="80000"/>
                <a:lumOff val="2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Interpolation!$T$20:$CV$20</c:f>
              <c:numCache>
                <c:formatCode>General</c:formatCode>
                <c:ptCount val="81"/>
                <c:pt idx="0">
                  <c:v>9.8979286074587745E-3</c:v>
                </c:pt>
                <c:pt idx="1">
                  <c:v>9.7318617196324488E-3</c:v>
                </c:pt>
                <c:pt idx="2">
                  <c:v>9.5689047849691154E-3</c:v>
                </c:pt>
                <c:pt idx="3">
                  <c:v>9.4090578034687761E-3</c:v>
                </c:pt>
                <c:pt idx="4">
                  <c:v>9.2523207751314309E-3</c:v>
                </c:pt>
                <c:pt idx="5">
                  <c:v>9.098693699957066E-3</c:v>
                </c:pt>
                <c:pt idx="6">
                  <c:v>8.9481765779456952E-3</c:v>
                </c:pt>
                <c:pt idx="7">
                  <c:v>8.8007694090973046E-3</c:v>
                </c:pt>
                <c:pt idx="8">
                  <c:v>8.656472193411922E-3</c:v>
                </c:pt>
                <c:pt idx="9">
                  <c:v>8.5152849308895336E-3</c:v>
                </c:pt>
                <c:pt idx="10">
                  <c:v>8.3772076215301253E-3</c:v>
                </c:pt>
                <c:pt idx="11">
                  <c:v>8.2422402653337112E-3</c:v>
                </c:pt>
                <c:pt idx="12">
                  <c:v>8.1103828623002912E-3</c:v>
                </c:pt>
                <c:pt idx="13">
                  <c:v>7.9816354124298654E-3</c:v>
                </c:pt>
                <c:pt idx="14">
                  <c:v>7.8559979157224197E-3</c:v>
                </c:pt>
                <c:pt idx="15">
                  <c:v>7.7334703721779752E-3</c:v>
                </c:pt>
                <c:pt idx="16">
                  <c:v>7.6140527817965178E-3</c:v>
                </c:pt>
                <c:pt idx="17">
                  <c:v>7.4977451445780476E-3</c:v>
                </c:pt>
                <c:pt idx="18">
                  <c:v>7.3845474605225793E-3</c:v>
                </c:pt>
                <c:pt idx="19">
                  <c:v>7.2744597296300973E-3</c:v>
                </c:pt>
                <c:pt idx="20">
                  <c:v>7.1674819519006025E-3</c:v>
                </c:pt>
                <c:pt idx="21">
                  <c:v>7.0636141273341087E-3</c:v>
                </c:pt>
                <c:pt idx="22">
                  <c:v>6.9628562559306021E-3</c:v>
                </c:pt>
                <c:pt idx="23">
                  <c:v>6.8652083376900827E-3</c:v>
                </c:pt>
                <c:pt idx="24">
                  <c:v>6.7706703726125575E-3</c:v>
                </c:pt>
                <c:pt idx="25">
                  <c:v>6.6792423606980202E-3</c:v>
                </c:pt>
                <c:pt idx="26">
                  <c:v>6.5909243019464832E-3</c:v>
                </c:pt>
                <c:pt idx="27">
                  <c:v>6.5057161963579333E-3</c:v>
                </c:pt>
                <c:pt idx="28">
                  <c:v>6.4236180439323706E-3</c:v>
                </c:pt>
                <c:pt idx="29">
                  <c:v>6.3446298446698021E-3</c:v>
                </c:pt>
                <c:pt idx="30">
                  <c:v>6.2687515985702276E-3</c:v>
                </c:pt>
                <c:pt idx="31">
                  <c:v>6.1959833056336403E-3</c:v>
                </c:pt>
                <c:pt idx="32">
                  <c:v>6.1263249658600472E-3</c:v>
                </c:pt>
                <c:pt idx="33">
                  <c:v>6.0597765792494412E-3</c:v>
                </c:pt>
                <c:pt idx="34">
                  <c:v>5.9963381458018293E-3</c:v>
                </c:pt>
                <c:pt idx="35">
                  <c:v>5.9360096655172116E-3</c:v>
                </c:pt>
                <c:pt idx="36">
                  <c:v>5.878791138395581E-3</c:v>
                </c:pt>
                <c:pt idx="37">
                  <c:v>5.8246825644369445E-3</c:v>
                </c:pt>
                <c:pt idx="38">
                  <c:v>5.7736839436413031E-3</c:v>
                </c:pt>
                <c:pt idx="39">
                  <c:v>5.7257952760086479E-3</c:v>
                </c:pt>
                <c:pt idx="40">
                  <c:v>5.6810165615389799E-3</c:v>
                </c:pt>
                <c:pt idx="41">
                  <c:v>5.6393478002323061E-3</c:v>
                </c:pt>
                <c:pt idx="42">
                  <c:v>5.6007889920886263E-3</c:v>
                </c:pt>
                <c:pt idx="43">
                  <c:v>5.5653401371079407E-3</c:v>
                </c:pt>
                <c:pt idx="44">
                  <c:v>5.5330012352902422E-3</c:v>
                </c:pt>
                <c:pt idx="45">
                  <c:v>5.5037722866355379E-3</c:v>
                </c:pt>
                <c:pt idx="46">
                  <c:v>5.4776532911438207E-3</c:v>
                </c:pt>
                <c:pt idx="47">
                  <c:v>5.4546442488150985E-3</c:v>
                </c:pt>
                <c:pt idx="48">
                  <c:v>5.4347451596493696E-3</c:v>
                </c:pt>
                <c:pt idx="49">
                  <c:v>5.4179560236466279E-3</c:v>
                </c:pt>
                <c:pt idx="50">
                  <c:v>5.4042768408068733E-3</c:v>
                </c:pt>
                <c:pt idx="51">
                  <c:v>5.3937076111301198E-3</c:v>
                </c:pt>
                <c:pt idx="52">
                  <c:v>5.3862483346163535E-3</c:v>
                </c:pt>
                <c:pt idx="53">
                  <c:v>5.3818990112655743E-3</c:v>
                </c:pt>
                <c:pt idx="54">
                  <c:v>5.3806596410777893E-3</c:v>
                </c:pt>
                <c:pt idx="55">
                  <c:v>5.3825302240530053E-3</c:v>
                </c:pt>
                <c:pt idx="56">
                  <c:v>5.3875107601912015E-3</c:v>
                </c:pt>
                <c:pt idx="57">
                  <c:v>5.3956012494923919E-3</c:v>
                </c:pt>
                <c:pt idx="58">
                  <c:v>5.4068016919565694E-3</c:v>
                </c:pt>
                <c:pt idx="59">
                  <c:v>5.4211120875837489E-3</c:v>
                </c:pt>
                <c:pt idx="60">
                  <c:v>5.4385324363739078E-3</c:v>
                </c:pt>
                <c:pt idx="61">
                  <c:v>5.4590627383270677E-3</c:v>
                </c:pt>
                <c:pt idx="62">
                  <c:v>5.4827029934432078E-3</c:v>
                </c:pt>
                <c:pt idx="63">
                  <c:v>5.5094532017223568E-3</c:v>
                </c:pt>
                <c:pt idx="64">
                  <c:v>5.5393133631644852E-3</c:v>
                </c:pt>
                <c:pt idx="65">
                  <c:v>5.5722834777695998E-3</c:v>
                </c:pt>
                <c:pt idx="66">
                  <c:v>5.6083635455377165E-3</c:v>
                </c:pt>
                <c:pt idx="67">
                  <c:v>5.6475535664688211E-3</c:v>
                </c:pt>
                <c:pt idx="68">
                  <c:v>5.689853540562919E-3</c:v>
                </c:pt>
                <c:pt idx="69">
                  <c:v>5.7352634678200041E-3</c:v>
                </c:pt>
                <c:pt idx="70">
                  <c:v>5.7837833482400833E-3</c:v>
                </c:pt>
                <c:pt idx="71">
                  <c:v>5.8354131818231497E-3</c:v>
                </c:pt>
                <c:pt idx="72">
                  <c:v>5.8901529685692101E-3</c:v>
                </c:pt>
                <c:pt idx="73">
                  <c:v>5.9480027084782647E-3</c:v>
                </c:pt>
                <c:pt idx="74">
                  <c:v>6.0089624015502996E-3</c:v>
                </c:pt>
                <c:pt idx="75">
                  <c:v>6.0730320477853424E-3</c:v>
                </c:pt>
                <c:pt idx="76">
                  <c:v>6.1402116471833655E-3</c:v>
                </c:pt>
                <c:pt idx="77">
                  <c:v>6.2105011997443827E-3</c:v>
                </c:pt>
                <c:pt idx="78">
                  <c:v>6.283900705468394E-3</c:v>
                </c:pt>
                <c:pt idx="79">
                  <c:v>6.3604101643553995E-3</c:v>
                </c:pt>
                <c:pt idx="80">
                  <c:v>6.4400295764053851E-3</c:v>
                </c:pt>
              </c:numCache>
            </c:numRef>
          </c:val>
          <c:extLst>
            <c:ext xmlns:c16="http://schemas.microsoft.com/office/drawing/2014/chart" uri="{C3380CC4-5D6E-409C-BE32-E72D297353CC}">
              <c16:uniqueId val="{00000011-A84F-4AFF-90AD-1264CB609548}"/>
            </c:ext>
          </c:extLst>
        </c:ser>
        <c:ser>
          <c:idx val="18"/>
          <c:order val="18"/>
          <c:tx>
            <c:strRef>
              <c:f>Interpolation!$S$21</c:f>
              <c:strCache>
                <c:ptCount val="1"/>
                <c:pt idx="0">
                  <c:v>31.8</c:v>
                </c:pt>
              </c:strCache>
            </c:strRef>
          </c:tx>
          <c:spPr>
            <a:solidFill>
              <a:schemeClr val="accent1">
                <a:lumMod val="8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Interpolation!$T$21:$CV$21</c:f>
              <c:numCache>
                <c:formatCode>General</c:formatCode>
                <c:ptCount val="81"/>
                <c:pt idx="0">
                  <c:v>9.8699636051742881E-3</c:v>
                </c:pt>
                <c:pt idx="1">
                  <c:v>9.7038014867652268E-3</c:v>
                </c:pt>
                <c:pt idx="2">
                  <c:v>9.5407493215191597E-3</c:v>
                </c:pt>
                <c:pt idx="3">
                  <c:v>9.3808071094360884E-3</c:v>
                </c:pt>
                <c:pt idx="4">
                  <c:v>9.2239748505160094E-3</c:v>
                </c:pt>
                <c:pt idx="5">
                  <c:v>9.0702525447589107E-3</c:v>
                </c:pt>
                <c:pt idx="6">
                  <c:v>8.9196401921648079E-3</c:v>
                </c:pt>
                <c:pt idx="7">
                  <c:v>8.7721377927336835E-3</c:v>
                </c:pt>
                <c:pt idx="8">
                  <c:v>8.6277453464655689E-3</c:v>
                </c:pt>
                <c:pt idx="9">
                  <c:v>8.4864628533604467E-3</c:v>
                </c:pt>
                <c:pt idx="10">
                  <c:v>8.3482903134183047E-3</c:v>
                </c:pt>
                <c:pt idx="11">
                  <c:v>8.2132277266391586E-3</c:v>
                </c:pt>
                <c:pt idx="12">
                  <c:v>8.0812750930230048E-3</c:v>
                </c:pt>
                <c:pt idx="13">
                  <c:v>7.9524324125698452E-3</c:v>
                </c:pt>
                <c:pt idx="14">
                  <c:v>7.8266996852796675E-3</c:v>
                </c:pt>
                <c:pt idx="15">
                  <c:v>7.7040769111524892E-3</c:v>
                </c:pt>
                <c:pt idx="16">
                  <c:v>7.5845640901882989E-3</c:v>
                </c:pt>
                <c:pt idx="17">
                  <c:v>7.4681612223870958E-3</c:v>
                </c:pt>
                <c:pt idx="18">
                  <c:v>7.3548683077488929E-3</c:v>
                </c:pt>
                <c:pt idx="19">
                  <c:v>7.244685346273678E-3</c:v>
                </c:pt>
                <c:pt idx="20">
                  <c:v>7.1376123379614503E-3</c:v>
                </c:pt>
                <c:pt idx="21">
                  <c:v>7.0336492828122236E-3</c:v>
                </c:pt>
                <c:pt idx="22">
                  <c:v>6.9327961808259833E-3</c:v>
                </c:pt>
                <c:pt idx="23">
                  <c:v>6.835053032002731E-3</c:v>
                </c:pt>
                <c:pt idx="24">
                  <c:v>6.7404198363424719E-3</c:v>
                </c:pt>
                <c:pt idx="25">
                  <c:v>6.6488965938452018E-3</c:v>
                </c:pt>
                <c:pt idx="26">
                  <c:v>6.560483304510931E-3</c:v>
                </c:pt>
                <c:pt idx="27">
                  <c:v>6.4751799683396482E-3</c:v>
                </c:pt>
                <c:pt idx="28">
                  <c:v>6.3929865853313526E-3</c:v>
                </c:pt>
                <c:pt idx="29">
                  <c:v>6.3139031554860503E-3</c:v>
                </c:pt>
                <c:pt idx="30">
                  <c:v>6.2379296788037429E-3</c:v>
                </c:pt>
                <c:pt idx="31">
                  <c:v>6.1650661552844228E-3</c:v>
                </c:pt>
                <c:pt idx="32">
                  <c:v>6.0953125849280967E-3</c:v>
                </c:pt>
                <c:pt idx="33">
                  <c:v>6.028668967734757E-3</c:v>
                </c:pt>
                <c:pt idx="34">
                  <c:v>5.9651353037044122E-3</c:v>
                </c:pt>
                <c:pt idx="35">
                  <c:v>5.9047115928370615E-3</c:v>
                </c:pt>
                <c:pt idx="36">
                  <c:v>5.8473978351326981E-3</c:v>
                </c:pt>
                <c:pt idx="37">
                  <c:v>5.7931940305913279E-3</c:v>
                </c:pt>
                <c:pt idx="38">
                  <c:v>5.7421001792129526E-3</c:v>
                </c:pt>
                <c:pt idx="39">
                  <c:v>5.6941162809975646E-3</c:v>
                </c:pt>
                <c:pt idx="40">
                  <c:v>5.6492423359451628E-3</c:v>
                </c:pt>
                <c:pt idx="41">
                  <c:v>5.607478344055756E-3</c:v>
                </c:pt>
                <c:pt idx="42">
                  <c:v>5.5688243053293434E-3</c:v>
                </c:pt>
                <c:pt idx="43">
                  <c:v>5.533280219765924E-3</c:v>
                </c:pt>
                <c:pt idx="44">
                  <c:v>5.5008460873654927E-3</c:v>
                </c:pt>
                <c:pt idx="45">
                  <c:v>5.4715219081280554E-3</c:v>
                </c:pt>
                <c:pt idx="46">
                  <c:v>5.4453076820536045E-3</c:v>
                </c:pt>
                <c:pt idx="47">
                  <c:v>5.4222034091421494E-3</c:v>
                </c:pt>
                <c:pt idx="48">
                  <c:v>5.4022090893936867E-3</c:v>
                </c:pt>
                <c:pt idx="49">
                  <c:v>5.3853247228082121E-3</c:v>
                </c:pt>
                <c:pt idx="50">
                  <c:v>5.3715503093857246E-3</c:v>
                </c:pt>
                <c:pt idx="51">
                  <c:v>5.3608858491262373E-3</c:v>
                </c:pt>
                <c:pt idx="52">
                  <c:v>5.3533313420297381E-3</c:v>
                </c:pt>
                <c:pt idx="53">
                  <c:v>5.348886788096226E-3</c:v>
                </c:pt>
                <c:pt idx="54">
                  <c:v>5.3475521873257072E-3</c:v>
                </c:pt>
                <c:pt idx="55">
                  <c:v>5.3493275397181912E-3</c:v>
                </c:pt>
                <c:pt idx="56">
                  <c:v>5.3542128452736537E-3</c:v>
                </c:pt>
                <c:pt idx="57">
                  <c:v>5.3622081039921103E-3</c:v>
                </c:pt>
                <c:pt idx="58">
                  <c:v>5.373313315873555E-3</c:v>
                </c:pt>
                <c:pt idx="59">
                  <c:v>5.3875284809180007E-3</c:v>
                </c:pt>
                <c:pt idx="60">
                  <c:v>5.4048535991254266E-3</c:v>
                </c:pt>
                <c:pt idx="61">
                  <c:v>5.4252886704958536E-3</c:v>
                </c:pt>
                <c:pt idx="62">
                  <c:v>5.44883369502926E-3</c:v>
                </c:pt>
                <c:pt idx="63">
                  <c:v>5.4754886727256761E-3</c:v>
                </c:pt>
                <c:pt idx="64">
                  <c:v>5.5052536035850707E-3</c:v>
                </c:pt>
                <c:pt idx="65">
                  <c:v>5.5381284876074525E-3</c:v>
                </c:pt>
                <c:pt idx="66">
                  <c:v>5.5741133247928362E-3</c:v>
                </c:pt>
                <c:pt idx="67">
                  <c:v>5.6132081151412071E-3</c:v>
                </c:pt>
                <c:pt idx="68">
                  <c:v>5.6554128586525712E-3</c:v>
                </c:pt>
                <c:pt idx="69">
                  <c:v>5.7007275553269234E-3</c:v>
                </c:pt>
                <c:pt idx="70">
                  <c:v>5.7491522051642697E-3</c:v>
                </c:pt>
                <c:pt idx="71">
                  <c:v>5.8006868081646023E-3</c:v>
                </c:pt>
                <c:pt idx="72">
                  <c:v>5.8553313643279307E-3</c:v>
                </c:pt>
                <c:pt idx="73">
                  <c:v>5.9130858736542516E-3</c:v>
                </c:pt>
                <c:pt idx="74">
                  <c:v>5.9739503361435544E-3</c:v>
                </c:pt>
                <c:pt idx="75">
                  <c:v>6.0379247517958635E-3</c:v>
                </c:pt>
                <c:pt idx="76">
                  <c:v>6.1050091206111528E-3</c:v>
                </c:pt>
                <c:pt idx="77">
                  <c:v>6.1752034425894371E-3</c:v>
                </c:pt>
                <c:pt idx="78">
                  <c:v>6.2485077177307155E-3</c:v>
                </c:pt>
                <c:pt idx="79">
                  <c:v>6.3249219460349872E-3</c:v>
                </c:pt>
                <c:pt idx="80">
                  <c:v>6.4044461275022408E-3</c:v>
                </c:pt>
              </c:numCache>
            </c:numRef>
          </c:val>
          <c:extLst>
            <c:ext xmlns:c16="http://schemas.microsoft.com/office/drawing/2014/chart" uri="{C3380CC4-5D6E-409C-BE32-E72D297353CC}">
              <c16:uniqueId val="{00000012-A84F-4AFF-90AD-1264CB609548}"/>
            </c:ext>
          </c:extLst>
        </c:ser>
        <c:ser>
          <c:idx val="19"/>
          <c:order val="19"/>
          <c:tx>
            <c:strRef>
              <c:f>Interpolation!$S$22</c:f>
              <c:strCache>
                <c:ptCount val="1"/>
                <c:pt idx="0">
                  <c:v>31.9</c:v>
                </c:pt>
              </c:strCache>
            </c:strRef>
          </c:tx>
          <c:spPr>
            <a:solidFill>
              <a:schemeClr val="accent2">
                <a:lumMod val="8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Interpolation!$T$22:$CV$22</c:f>
              <c:numCache>
                <c:formatCode>General</c:formatCode>
                <c:ptCount val="81"/>
                <c:pt idx="0">
                  <c:v>9.8428990566166181E-3</c:v>
                </c:pt>
                <c:pt idx="1">
                  <c:v>9.676641707624823E-3</c:v>
                </c:pt>
                <c:pt idx="2">
                  <c:v>9.5134943117960238E-3</c:v>
                </c:pt>
                <c:pt idx="3">
                  <c:v>9.3534568691302188E-3</c:v>
                </c:pt>
                <c:pt idx="4">
                  <c:v>9.1965293796274078E-3</c:v>
                </c:pt>
                <c:pt idx="5">
                  <c:v>9.0427118432875753E-3</c:v>
                </c:pt>
                <c:pt idx="6">
                  <c:v>8.8920042601107387E-3</c:v>
                </c:pt>
                <c:pt idx="7">
                  <c:v>8.7444066300968806E-3</c:v>
                </c:pt>
                <c:pt idx="8">
                  <c:v>8.5999189532460323E-3</c:v>
                </c:pt>
                <c:pt idx="9">
                  <c:v>8.458541229558178E-3</c:v>
                </c:pt>
                <c:pt idx="10">
                  <c:v>8.320273459033304E-3</c:v>
                </c:pt>
                <c:pt idx="11">
                  <c:v>8.1851156416714223E-3</c:v>
                </c:pt>
                <c:pt idx="12">
                  <c:v>8.0530677774725366E-3</c:v>
                </c:pt>
                <c:pt idx="13">
                  <c:v>7.9241298664366449E-3</c:v>
                </c:pt>
                <c:pt idx="14">
                  <c:v>7.7983019085637326E-3</c:v>
                </c:pt>
                <c:pt idx="15">
                  <c:v>7.6755839038538214E-3</c:v>
                </c:pt>
                <c:pt idx="16">
                  <c:v>7.5559758523068973E-3</c:v>
                </c:pt>
                <c:pt idx="17">
                  <c:v>7.4394777539229613E-3</c:v>
                </c:pt>
                <c:pt idx="18">
                  <c:v>7.3260896087020255E-3</c:v>
                </c:pt>
                <c:pt idx="19">
                  <c:v>7.2158114166440777E-3</c:v>
                </c:pt>
                <c:pt idx="20">
                  <c:v>7.1086431777491162E-3</c:v>
                </c:pt>
                <c:pt idx="21">
                  <c:v>7.0045848920171558E-3</c:v>
                </c:pt>
                <c:pt idx="22">
                  <c:v>6.9036365594481834E-3</c:v>
                </c:pt>
                <c:pt idx="23">
                  <c:v>6.8057981800421974E-3</c:v>
                </c:pt>
                <c:pt idx="24">
                  <c:v>6.7110697537992054E-3</c:v>
                </c:pt>
                <c:pt idx="25">
                  <c:v>6.6194512807192015E-3</c:v>
                </c:pt>
                <c:pt idx="26">
                  <c:v>6.5309427608021978E-3</c:v>
                </c:pt>
                <c:pt idx="27">
                  <c:v>6.4455441940481813E-3</c:v>
                </c:pt>
                <c:pt idx="28">
                  <c:v>6.3632555804571528E-3</c:v>
                </c:pt>
                <c:pt idx="29">
                  <c:v>6.2840769200291175E-3</c:v>
                </c:pt>
                <c:pt idx="30">
                  <c:v>6.2080082127640764E-3</c:v>
                </c:pt>
                <c:pt idx="31">
                  <c:v>6.1350494586620234E-3</c:v>
                </c:pt>
                <c:pt idx="32">
                  <c:v>6.0652006577229635E-3</c:v>
                </c:pt>
                <c:pt idx="33">
                  <c:v>5.9984618099468909E-3</c:v>
                </c:pt>
                <c:pt idx="34">
                  <c:v>5.9348329153338132E-3</c:v>
                </c:pt>
                <c:pt idx="35">
                  <c:v>5.8743139738837288E-3</c:v>
                </c:pt>
                <c:pt idx="36">
                  <c:v>5.8169049855966316E-3</c:v>
                </c:pt>
                <c:pt idx="37">
                  <c:v>5.7626059504725293E-3</c:v>
                </c:pt>
                <c:pt idx="38">
                  <c:v>5.7114168685114203E-3</c:v>
                </c:pt>
                <c:pt idx="39">
                  <c:v>5.6633377397132994E-3</c:v>
                </c:pt>
                <c:pt idx="40">
                  <c:v>5.6183685640781647E-3</c:v>
                </c:pt>
                <c:pt idx="41">
                  <c:v>5.576509341606025E-3</c:v>
                </c:pt>
                <c:pt idx="42">
                  <c:v>5.5377600722968786E-3</c:v>
                </c:pt>
                <c:pt idx="43">
                  <c:v>5.5021207561507263E-3</c:v>
                </c:pt>
                <c:pt idx="44">
                  <c:v>5.4695913931675612E-3</c:v>
                </c:pt>
                <c:pt idx="45">
                  <c:v>5.4401719833473902E-3</c:v>
                </c:pt>
                <c:pt idx="46">
                  <c:v>5.4138625266902073E-3</c:v>
                </c:pt>
                <c:pt idx="47">
                  <c:v>5.3906630231960184E-3</c:v>
                </c:pt>
                <c:pt idx="48">
                  <c:v>5.3705734728648228E-3</c:v>
                </c:pt>
                <c:pt idx="49">
                  <c:v>5.3535938756966144E-3</c:v>
                </c:pt>
                <c:pt idx="50">
                  <c:v>5.3397242316913941E-3</c:v>
                </c:pt>
                <c:pt idx="51">
                  <c:v>5.3289645408491739E-3</c:v>
                </c:pt>
                <c:pt idx="52">
                  <c:v>5.3213148031699409E-3</c:v>
                </c:pt>
                <c:pt idx="53">
                  <c:v>5.3167750186536959E-3</c:v>
                </c:pt>
                <c:pt idx="54">
                  <c:v>5.3153451873004442E-3</c:v>
                </c:pt>
                <c:pt idx="55">
                  <c:v>5.3170253091101936E-3</c:v>
                </c:pt>
                <c:pt idx="56">
                  <c:v>5.321815384082924E-3</c:v>
                </c:pt>
                <c:pt idx="57">
                  <c:v>5.3297154122186477E-3</c:v>
                </c:pt>
                <c:pt idx="58">
                  <c:v>5.3407253935173586E-3</c:v>
                </c:pt>
                <c:pt idx="59">
                  <c:v>5.3548453279790714E-3</c:v>
                </c:pt>
                <c:pt idx="60">
                  <c:v>5.3720752156037645E-3</c:v>
                </c:pt>
                <c:pt idx="61">
                  <c:v>5.3924150563914577E-3</c:v>
                </c:pt>
                <c:pt idx="62">
                  <c:v>5.4158648503421312E-3</c:v>
                </c:pt>
                <c:pt idx="63">
                  <c:v>5.4424245974558135E-3</c:v>
                </c:pt>
                <c:pt idx="64">
                  <c:v>5.4720942977324752E-3</c:v>
                </c:pt>
                <c:pt idx="65">
                  <c:v>5.5048739511721241E-3</c:v>
                </c:pt>
                <c:pt idx="66">
                  <c:v>5.540763557774774E-3</c:v>
                </c:pt>
                <c:pt idx="67">
                  <c:v>5.5797631175404112E-3</c:v>
                </c:pt>
                <c:pt idx="68">
                  <c:v>5.6218726304690433E-3</c:v>
                </c:pt>
                <c:pt idx="69">
                  <c:v>5.6670920965606626E-3</c:v>
                </c:pt>
                <c:pt idx="70">
                  <c:v>5.7154215158152742E-3</c:v>
                </c:pt>
                <c:pt idx="71">
                  <c:v>5.7668608882328748E-3</c:v>
                </c:pt>
                <c:pt idx="72">
                  <c:v>5.8214102138134695E-3</c:v>
                </c:pt>
                <c:pt idx="73">
                  <c:v>5.8790694925570574E-3</c:v>
                </c:pt>
                <c:pt idx="74">
                  <c:v>5.9398387244636256E-3</c:v>
                </c:pt>
                <c:pt idx="75">
                  <c:v>6.0037179095332027E-3</c:v>
                </c:pt>
                <c:pt idx="76">
                  <c:v>6.0707070477657591E-3</c:v>
                </c:pt>
                <c:pt idx="77">
                  <c:v>6.1408061391613096E-3</c:v>
                </c:pt>
                <c:pt idx="78">
                  <c:v>6.2140151837198551E-3</c:v>
                </c:pt>
                <c:pt idx="79">
                  <c:v>6.2903341814413939E-3</c:v>
                </c:pt>
                <c:pt idx="80">
                  <c:v>6.3697631323259129E-3</c:v>
                </c:pt>
              </c:numCache>
            </c:numRef>
          </c:val>
          <c:extLst>
            <c:ext xmlns:c16="http://schemas.microsoft.com/office/drawing/2014/chart" uri="{C3380CC4-5D6E-409C-BE32-E72D297353CC}">
              <c16:uniqueId val="{00000013-A84F-4AFF-90AD-1264CB609548}"/>
            </c:ext>
          </c:extLst>
        </c:ser>
        <c:ser>
          <c:idx val="20"/>
          <c:order val="20"/>
          <c:tx>
            <c:strRef>
              <c:f>Interpolation!$S$23</c:f>
              <c:strCache>
                <c:ptCount val="1"/>
                <c:pt idx="0">
                  <c:v>32</c:v>
                </c:pt>
              </c:strCache>
            </c:strRef>
          </c:tx>
          <c:spPr>
            <a:solidFill>
              <a:schemeClr val="accent3">
                <a:lumMod val="8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Interpolation!$T$23:$CV$23</c:f>
              <c:numCache>
                <c:formatCode>General</c:formatCode>
                <c:ptCount val="81"/>
                <c:pt idx="0">
                  <c:v>9.8167349617857662E-3</c:v>
                </c:pt>
                <c:pt idx="1">
                  <c:v>9.6503823822112391E-3</c:v>
                </c:pt>
                <c:pt idx="2">
                  <c:v>9.4871397557997061E-3</c:v>
                </c:pt>
                <c:pt idx="3">
                  <c:v>9.3270070825511673E-3</c:v>
                </c:pt>
                <c:pt idx="4">
                  <c:v>9.1699843624656226E-3</c:v>
                </c:pt>
                <c:pt idx="5">
                  <c:v>9.0160715955430581E-3</c:v>
                </c:pt>
                <c:pt idx="6">
                  <c:v>8.8652687817834877E-3</c:v>
                </c:pt>
                <c:pt idx="7">
                  <c:v>8.7175759211868976E-3</c:v>
                </c:pt>
                <c:pt idx="8">
                  <c:v>8.5729930137533154E-3</c:v>
                </c:pt>
                <c:pt idx="9">
                  <c:v>8.4315200594827274E-3</c:v>
                </c:pt>
                <c:pt idx="10">
                  <c:v>8.2931570583751196E-3</c:v>
                </c:pt>
                <c:pt idx="11">
                  <c:v>8.157904010430506E-3</c:v>
                </c:pt>
                <c:pt idx="12">
                  <c:v>8.0257609156488864E-3</c:v>
                </c:pt>
                <c:pt idx="13">
                  <c:v>7.896727774030261E-3</c:v>
                </c:pt>
                <c:pt idx="14">
                  <c:v>7.7708045855746158E-3</c:v>
                </c:pt>
                <c:pt idx="15">
                  <c:v>7.6479913502819716E-3</c:v>
                </c:pt>
                <c:pt idx="16">
                  <c:v>7.5282880681523147E-3</c:v>
                </c:pt>
                <c:pt idx="17">
                  <c:v>7.4116947391856449E-3</c:v>
                </c:pt>
                <c:pt idx="18">
                  <c:v>7.2982113633819762E-3</c:v>
                </c:pt>
                <c:pt idx="19">
                  <c:v>7.1878379407412946E-3</c:v>
                </c:pt>
                <c:pt idx="20">
                  <c:v>7.0805744712636003E-3</c:v>
                </c:pt>
                <c:pt idx="21">
                  <c:v>6.9764209549489069E-3</c:v>
                </c:pt>
                <c:pt idx="22">
                  <c:v>6.8753773917972008E-3</c:v>
                </c:pt>
                <c:pt idx="23">
                  <c:v>6.7774437818084819E-3</c:v>
                </c:pt>
                <c:pt idx="24">
                  <c:v>6.682620124982757E-3</c:v>
                </c:pt>
                <c:pt idx="25">
                  <c:v>6.5909064213200193E-3</c:v>
                </c:pt>
                <c:pt idx="26">
                  <c:v>6.5023026708202827E-3</c:v>
                </c:pt>
                <c:pt idx="27">
                  <c:v>6.4168088734835333E-3</c:v>
                </c:pt>
                <c:pt idx="28">
                  <c:v>6.3344250293097711E-3</c:v>
                </c:pt>
                <c:pt idx="29">
                  <c:v>6.2551511382990029E-3</c:v>
                </c:pt>
                <c:pt idx="30">
                  <c:v>6.1789872004512289E-3</c:v>
                </c:pt>
                <c:pt idx="31">
                  <c:v>6.1059332157664421E-3</c:v>
                </c:pt>
                <c:pt idx="32">
                  <c:v>6.0359891842446493E-3</c:v>
                </c:pt>
                <c:pt idx="33">
                  <c:v>5.9691551058858438E-3</c:v>
                </c:pt>
                <c:pt idx="34">
                  <c:v>5.9054309806900324E-3</c:v>
                </c:pt>
                <c:pt idx="35">
                  <c:v>5.844816808657215E-3</c:v>
                </c:pt>
                <c:pt idx="36">
                  <c:v>5.7873125897873849E-3</c:v>
                </c:pt>
                <c:pt idx="37">
                  <c:v>5.7329183240805489E-3</c:v>
                </c:pt>
                <c:pt idx="38">
                  <c:v>5.681634011536707E-3</c:v>
                </c:pt>
                <c:pt idx="39">
                  <c:v>5.6334596521558523E-3</c:v>
                </c:pt>
                <c:pt idx="40">
                  <c:v>5.5883952459379847E-3</c:v>
                </c:pt>
                <c:pt idx="41">
                  <c:v>5.5464407928831113E-3</c:v>
                </c:pt>
                <c:pt idx="42">
                  <c:v>5.507596292991232E-3</c:v>
                </c:pt>
                <c:pt idx="43">
                  <c:v>5.4718617462623468E-3</c:v>
                </c:pt>
                <c:pt idx="44">
                  <c:v>5.4392371526964479E-3</c:v>
                </c:pt>
                <c:pt idx="45">
                  <c:v>5.409722512293544E-3</c:v>
                </c:pt>
                <c:pt idx="46">
                  <c:v>5.3833178250536273E-3</c:v>
                </c:pt>
                <c:pt idx="47">
                  <c:v>5.3600230909767056E-3</c:v>
                </c:pt>
                <c:pt idx="48">
                  <c:v>5.3398383100627771E-3</c:v>
                </c:pt>
                <c:pt idx="49">
                  <c:v>5.3227634823118358E-3</c:v>
                </c:pt>
                <c:pt idx="50">
                  <c:v>5.3087986077238816E-3</c:v>
                </c:pt>
                <c:pt idx="51">
                  <c:v>5.2979436862989285E-3</c:v>
                </c:pt>
                <c:pt idx="52">
                  <c:v>5.2901987180369626E-3</c:v>
                </c:pt>
                <c:pt idx="53">
                  <c:v>5.2855637029379831E-3</c:v>
                </c:pt>
                <c:pt idx="54">
                  <c:v>5.2840386410019985E-3</c:v>
                </c:pt>
                <c:pt idx="55">
                  <c:v>5.2856235322290158E-3</c:v>
                </c:pt>
                <c:pt idx="56">
                  <c:v>5.2903183766190116E-3</c:v>
                </c:pt>
                <c:pt idx="57">
                  <c:v>5.2981231741720024E-3</c:v>
                </c:pt>
                <c:pt idx="58">
                  <c:v>5.3090379248879804E-3</c:v>
                </c:pt>
                <c:pt idx="59">
                  <c:v>5.3230626287669603E-3</c:v>
                </c:pt>
                <c:pt idx="60">
                  <c:v>5.3401972858089196E-3</c:v>
                </c:pt>
                <c:pt idx="61">
                  <c:v>5.3604418960138799E-3</c:v>
                </c:pt>
                <c:pt idx="62">
                  <c:v>5.3837964593818205E-3</c:v>
                </c:pt>
                <c:pt idx="63">
                  <c:v>5.4102609759127691E-3</c:v>
                </c:pt>
                <c:pt idx="64">
                  <c:v>5.4398354456066979E-3</c:v>
                </c:pt>
                <c:pt idx="65">
                  <c:v>5.472519868463613E-3</c:v>
                </c:pt>
                <c:pt idx="66">
                  <c:v>5.50831424448353E-3</c:v>
                </c:pt>
                <c:pt idx="67">
                  <c:v>5.5472185736664343E-3</c:v>
                </c:pt>
                <c:pt idx="68">
                  <c:v>5.5892328560123326E-3</c:v>
                </c:pt>
                <c:pt idx="69">
                  <c:v>5.6343570915212181E-3</c:v>
                </c:pt>
                <c:pt idx="70">
                  <c:v>5.6825912801930977E-3</c:v>
                </c:pt>
                <c:pt idx="71">
                  <c:v>5.7339354220279646E-3</c:v>
                </c:pt>
                <c:pt idx="72">
                  <c:v>5.7883895170258264E-3</c:v>
                </c:pt>
                <c:pt idx="73">
                  <c:v>5.8459535651866814E-3</c:v>
                </c:pt>
                <c:pt idx="74">
                  <c:v>5.9066275665105167E-3</c:v>
                </c:pt>
                <c:pt idx="75">
                  <c:v>5.9704115209973591E-3</c:v>
                </c:pt>
                <c:pt idx="76">
                  <c:v>6.0373054286471826E-3</c:v>
                </c:pt>
                <c:pt idx="77">
                  <c:v>6.1073092894600002E-3</c:v>
                </c:pt>
                <c:pt idx="78">
                  <c:v>6.180423103435812E-3</c:v>
                </c:pt>
                <c:pt idx="79">
                  <c:v>6.2566468705746179E-3</c:v>
                </c:pt>
                <c:pt idx="80">
                  <c:v>6.335980590876404E-3</c:v>
                </c:pt>
              </c:numCache>
            </c:numRef>
          </c:val>
          <c:extLst>
            <c:ext xmlns:c16="http://schemas.microsoft.com/office/drawing/2014/chart" uri="{C3380CC4-5D6E-409C-BE32-E72D297353CC}">
              <c16:uniqueId val="{00000014-A84F-4AFF-90AD-1264CB609548}"/>
            </c:ext>
          </c:extLst>
        </c:ser>
        <c:ser>
          <c:idx val="21"/>
          <c:order val="21"/>
          <c:tx>
            <c:strRef>
              <c:f>Interpolation!$S$24</c:f>
              <c:strCache>
                <c:ptCount val="1"/>
                <c:pt idx="0">
                  <c:v>32.1</c:v>
                </c:pt>
              </c:strCache>
            </c:strRef>
          </c:tx>
          <c:spPr>
            <a:solidFill>
              <a:schemeClr val="accent4">
                <a:lumMod val="8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Interpolation!$T$24:$CV$24</c:f>
              <c:numCache>
                <c:formatCode>General</c:formatCode>
                <c:ptCount val="81"/>
                <c:pt idx="0">
                  <c:v>9.7914713206817324E-3</c:v>
                </c:pt>
                <c:pt idx="1">
                  <c:v>9.6250235105244716E-3</c:v>
                </c:pt>
                <c:pt idx="2">
                  <c:v>9.4616856535302066E-3</c:v>
                </c:pt>
                <c:pt idx="3">
                  <c:v>9.301457749698934E-3</c:v>
                </c:pt>
                <c:pt idx="4">
                  <c:v>9.1443397990306555E-3</c:v>
                </c:pt>
                <c:pt idx="5">
                  <c:v>8.9903318015253589E-3</c:v>
                </c:pt>
                <c:pt idx="6">
                  <c:v>8.8394337571830548E-3</c:v>
                </c:pt>
                <c:pt idx="7">
                  <c:v>8.6916456660037309E-3</c:v>
                </c:pt>
                <c:pt idx="8">
                  <c:v>8.5469675279874167E-3</c:v>
                </c:pt>
                <c:pt idx="9">
                  <c:v>8.405399343134095E-3</c:v>
                </c:pt>
                <c:pt idx="10">
                  <c:v>8.2669411114437534E-3</c:v>
                </c:pt>
                <c:pt idx="11">
                  <c:v>8.1315928329164077E-3</c:v>
                </c:pt>
                <c:pt idx="12">
                  <c:v>7.9993545075520544E-3</c:v>
                </c:pt>
                <c:pt idx="13">
                  <c:v>7.8702261353506952E-3</c:v>
                </c:pt>
                <c:pt idx="14">
                  <c:v>7.7442077163123171E-3</c:v>
                </c:pt>
                <c:pt idx="15">
                  <c:v>7.6212992504369401E-3</c:v>
                </c:pt>
                <c:pt idx="16">
                  <c:v>7.5015007377245493E-3</c:v>
                </c:pt>
                <c:pt idx="17">
                  <c:v>7.3848121781751467E-3</c:v>
                </c:pt>
                <c:pt idx="18">
                  <c:v>7.2712335717887442E-3</c:v>
                </c:pt>
                <c:pt idx="19">
                  <c:v>7.1607649185653297E-3</c:v>
                </c:pt>
                <c:pt idx="20">
                  <c:v>7.0534062185049025E-3</c:v>
                </c:pt>
                <c:pt idx="21">
                  <c:v>6.9491574716074754E-3</c:v>
                </c:pt>
                <c:pt idx="22">
                  <c:v>6.8480186778730363E-3</c:v>
                </c:pt>
                <c:pt idx="23">
                  <c:v>6.7499898373015836E-3</c:v>
                </c:pt>
                <c:pt idx="24">
                  <c:v>6.6550709498931259E-3</c:v>
                </c:pt>
                <c:pt idx="25">
                  <c:v>6.5632620156476553E-3</c:v>
                </c:pt>
                <c:pt idx="26">
                  <c:v>6.4745630345651849E-3</c:v>
                </c:pt>
                <c:pt idx="27">
                  <c:v>6.3889740066457026E-3</c:v>
                </c:pt>
                <c:pt idx="28">
                  <c:v>6.3064949318892075E-3</c:v>
                </c:pt>
                <c:pt idx="29">
                  <c:v>6.2271258102957056E-3</c:v>
                </c:pt>
                <c:pt idx="30">
                  <c:v>6.1508666418651986E-3</c:v>
                </c:pt>
                <c:pt idx="31">
                  <c:v>6.0777174265976789E-3</c:v>
                </c:pt>
                <c:pt idx="32">
                  <c:v>6.0076781644931524E-3</c:v>
                </c:pt>
                <c:pt idx="33">
                  <c:v>5.9407488555516131E-3</c:v>
                </c:pt>
                <c:pt idx="34">
                  <c:v>5.8769294997730688E-3</c:v>
                </c:pt>
                <c:pt idx="35">
                  <c:v>5.8162200971575186E-3</c:v>
                </c:pt>
                <c:pt idx="36">
                  <c:v>5.7586206477049547E-3</c:v>
                </c:pt>
                <c:pt idx="37">
                  <c:v>5.7041311514153857E-3</c:v>
                </c:pt>
                <c:pt idx="38">
                  <c:v>5.6527516082888109E-3</c:v>
                </c:pt>
                <c:pt idx="39">
                  <c:v>5.6044820183252225E-3</c:v>
                </c:pt>
                <c:pt idx="40">
                  <c:v>5.559322381524622E-3</c:v>
                </c:pt>
                <c:pt idx="41">
                  <c:v>5.5172726978870157E-3</c:v>
                </c:pt>
                <c:pt idx="42">
                  <c:v>5.4783329674124026E-3</c:v>
                </c:pt>
                <c:pt idx="43">
                  <c:v>5.4425031901007845E-3</c:v>
                </c:pt>
                <c:pt idx="44">
                  <c:v>5.4097833659521527E-3</c:v>
                </c:pt>
                <c:pt idx="45">
                  <c:v>5.3801734949665159E-3</c:v>
                </c:pt>
                <c:pt idx="46">
                  <c:v>5.3536735771438655E-3</c:v>
                </c:pt>
                <c:pt idx="47">
                  <c:v>5.3302836124842108E-3</c:v>
                </c:pt>
                <c:pt idx="48">
                  <c:v>5.3100036009875486E-3</c:v>
                </c:pt>
                <c:pt idx="49">
                  <c:v>5.2928335426538744E-3</c:v>
                </c:pt>
                <c:pt idx="50">
                  <c:v>5.2787734374831865E-3</c:v>
                </c:pt>
                <c:pt idx="51">
                  <c:v>5.2678232854755005E-3</c:v>
                </c:pt>
                <c:pt idx="52">
                  <c:v>5.2599830866308008E-3</c:v>
                </c:pt>
                <c:pt idx="53">
                  <c:v>5.2552528409490892E-3</c:v>
                </c:pt>
                <c:pt idx="54">
                  <c:v>5.2536325484303717E-3</c:v>
                </c:pt>
                <c:pt idx="55">
                  <c:v>5.2551222090746544E-3</c:v>
                </c:pt>
                <c:pt idx="56">
                  <c:v>5.2597218228819173E-3</c:v>
                </c:pt>
                <c:pt idx="57">
                  <c:v>5.2674313898521752E-3</c:v>
                </c:pt>
                <c:pt idx="58">
                  <c:v>5.2782509099854203E-3</c:v>
                </c:pt>
                <c:pt idx="59">
                  <c:v>5.2921803832816664E-3</c:v>
                </c:pt>
                <c:pt idx="60">
                  <c:v>5.3092198097408928E-3</c:v>
                </c:pt>
                <c:pt idx="61">
                  <c:v>5.3293691893631194E-3</c:v>
                </c:pt>
                <c:pt idx="62">
                  <c:v>5.3526285221483271E-3</c:v>
                </c:pt>
                <c:pt idx="63">
                  <c:v>5.3789978080965428E-3</c:v>
                </c:pt>
                <c:pt idx="64">
                  <c:v>5.4084770472077378E-3</c:v>
                </c:pt>
                <c:pt idx="65">
                  <c:v>5.44106623948192E-3</c:v>
                </c:pt>
                <c:pt idx="66">
                  <c:v>5.4767653849191042E-3</c:v>
                </c:pt>
                <c:pt idx="67">
                  <c:v>5.5155744835192755E-3</c:v>
                </c:pt>
                <c:pt idx="68">
                  <c:v>5.5574935352824401E-3</c:v>
                </c:pt>
                <c:pt idx="69">
                  <c:v>5.6025225402085918E-3</c:v>
                </c:pt>
                <c:pt idx="70">
                  <c:v>5.6506614982977394E-3</c:v>
                </c:pt>
                <c:pt idx="71">
                  <c:v>5.7019104095498725E-3</c:v>
                </c:pt>
                <c:pt idx="72">
                  <c:v>5.7562692739650005E-3</c:v>
                </c:pt>
                <c:pt idx="73">
                  <c:v>5.8137380915431226E-3</c:v>
                </c:pt>
                <c:pt idx="74">
                  <c:v>5.8743168622842241E-3</c:v>
                </c:pt>
                <c:pt idx="75">
                  <c:v>5.9380055861883337E-3</c:v>
                </c:pt>
                <c:pt idx="76">
                  <c:v>6.0048042632554243E-3</c:v>
                </c:pt>
                <c:pt idx="77">
                  <c:v>6.074712893485509E-3</c:v>
                </c:pt>
                <c:pt idx="78">
                  <c:v>6.147731476878587E-3</c:v>
                </c:pt>
                <c:pt idx="79">
                  <c:v>6.22386001343466E-3</c:v>
                </c:pt>
                <c:pt idx="80">
                  <c:v>6.3030985031537132E-3</c:v>
                </c:pt>
              </c:numCache>
            </c:numRef>
          </c:val>
          <c:extLst>
            <c:ext xmlns:c16="http://schemas.microsoft.com/office/drawing/2014/chart" uri="{C3380CC4-5D6E-409C-BE32-E72D297353CC}">
              <c16:uniqueId val="{00000015-A84F-4AFF-90AD-1264CB609548}"/>
            </c:ext>
          </c:extLst>
        </c:ser>
        <c:ser>
          <c:idx val="22"/>
          <c:order val="22"/>
          <c:tx>
            <c:strRef>
              <c:f>Interpolation!$S$25</c:f>
              <c:strCache>
                <c:ptCount val="1"/>
                <c:pt idx="0">
                  <c:v>32.2</c:v>
                </c:pt>
              </c:strCache>
            </c:strRef>
          </c:tx>
          <c:spPr>
            <a:solidFill>
              <a:schemeClr val="accent5">
                <a:lumMod val="8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Interpolation!$T$25:$CV$25</c:f>
              <c:numCache>
                <c:formatCode>General</c:formatCode>
                <c:ptCount val="81"/>
                <c:pt idx="0">
                  <c:v>9.7671081333045098E-3</c:v>
                </c:pt>
                <c:pt idx="1">
                  <c:v>9.600565092564517E-3</c:v>
                </c:pt>
                <c:pt idx="2">
                  <c:v>9.4371320049875182E-3</c:v>
                </c:pt>
                <c:pt idx="3">
                  <c:v>9.2768088705735118E-3</c:v>
                </c:pt>
                <c:pt idx="4">
                  <c:v>9.1195956893225013E-3</c:v>
                </c:pt>
                <c:pt idx="5">
                  <c:v>8.9654924612344693E-3</c:v>
                </c:pt>
                <c:pt idx="6">
                  <c:v>8.8144991863094331E-3</c:v>
                </c:pt>
                <c:pt idx="7">
                  <c:v>8.6666158645473772E-3</c:v>
                </c:pt>
                <c:pt idx="8">
                  <c:v>8.5218424959483275E-3</c:v>
                </c:pt>
                <c:pt idx="9">
                  <c:v>8.3801790805122737E-3</c:v>
                </c:pt>
                <c:pt idx="10">
                  <c:v>8.2416256182391984E-3</c:v>
                </c:pt>
                <c:pt idx="11">
                  <c:v>8.1061821091291189E-3</c:v>
                </c:pt>
                <c:pt idx="12">
                  <c:v>7.9738485531820336E-3</c:v>
                </c:pt>
                <c:pt idx="13">
                  <c:v>7.8446249503979406E-3</c:v>
                </c:pt>
                <c:pt idx="14">
                  <c:v>7.7185113007768296E-3</c:v>
                </c:pt>
                <c:pt idx="15">
                  <c:v>7.5955076043187188E-3</c:v>
                </c:pt>
                <c:pt idx="16">
                  <c:v>7.4756138610235952E-3</c:v>
                </c:pt>
                <c:pt idx="17">
                  <c:v>7.3588300708914596E-3</c:v>
                </c:pt>
                <c:pt idx="18">
                  <c:v>7.2451562339223242E-3</c:v>
                </c:pt>
                <c:pt idx="19">
                  <c:v>7.134592350116176E-3</c:v>
                </c:pt>
                <c:pt idx="20">
                  <c:v>7.0271384194730158E-3</c:v>
                </c:pt>
                <c:pt idx="21">
                  <c:v>6.9227944419928559E-3</c:v>
                </c:pt>
                <c:pt idx="22">
                  <c:v>6.8215604176756831E-3</c:v>
                </c:pt>
                <c:pt idx="23">
                  <c:v>6.7234363465214974E-3</c:v>
                </c:pt>
                <c:pt idx="24">
                  <c:v>6.6284222285303059E-3</c:v>
                </c:pt>
                <c:pt idx="25">
                  <c:v>6.5365180637021025E-3</c:v>
                </c:pt>
                <c:pt idx="26">
                  <c:v>6.4477238520368992E-3</c:v>
                </c:pt>
                <c:pt idx="27">
                  <c:v>6.3620395935346831E-3</c:v>
                </c:pt>
                <c:pt idx="28">
                  <c:v>6.2794652881954542E-3</c:v>
                </c:pt>
                <c:pt idx="29">
                  <c:v>6.2000009360192194E-3</c:v>
                </c:pt>
                <c:pt idx="30">
                  <c:v>6.1236465370059796E-3</c:v>
                </c:pt>
                <c:pt idx="31">
                  <c:v>6.0504020911557269E-3</c:v>
                </c:pt>
                <c:pt idx="32">
                  <c:v>5.9802675984684675E-3</c:v>
                </c:pt>
                <c:pt idx="33">
                  <c:v>5.9132430589441953E-3</c:v>
                </c:pt>
                <c:pt idx="34">
                  <c:v>5.8493284725829172E-3</c:v>
                </c:pt>
                <c:pt idx="35">
                  <c:v>5.7885238393846333E-3</c:v>
                </c:pt>
                <c:pt idx="36">
                  <c:v>5.7308291593493373E-3</c:v>
                </c:pt>
                <c:pt idx="37">
                  <c:v>5.6762444324770346E-3</c:v>
                </c:pt>
                <c:pt idx="38">
                  <c:v>5.6247696587677261E-3</c:v>
                </c:pt>
                <c:pt idx="39">
                  <c:v>5.5764048382214047E-3</c:v>
                </c:pt>
                <c:pt idx="40">
                  <c:v>5.5311499708380705E-3</c:v>
                </c:pt>
                <c:pt idx="41">
                  <c:v>5.4890050566177313E-3</c:v>
                </c:pt>
                <c:pt idx="42">
                  <c:v>5.4499700955603853E-3</c:v>
                </c:pt>
                <c:pt idx="43">
                  <c:v>5.4140450876660334E-3</c:v>
                </c:pt>
                <c:pt idx="44">
                  <c:v>5.3812300329346687E-3</c:v>
                </c:pt>
                <c:pt idx="45">
                  <c:v>5.3515249313662982E-3</c:v>
                </c:pt>
                <c:pt idx="46">
                  <c:v>5.3249297829609157E-3</c:v>
                </c:pt>
                <c:pt idx="47">
                  <c:v>5.3014445877185264E-3</c:v>
                </c:pt>
                <c:pt idx="48">
                  <c:v>5.2810693456391312E-3</c:v>
                </c:pt>
                <c:pt idx="49">
                  <c:v>5.2638040567227241E-3</c:v>
                </c:pt>
                <c:pt idx="50">
                  <c:v>5.2496487209693033E-3</c:v>
                </c:pt>
                <c:pt idx="51">
                  <c:v>5.2386033383788836E-3</c:v>
                </c:pt>
                <c:pt idx="52">
                  <c:v>5.2306679089514519E-3</c:v>
                </c:pt>
                <c:pt idx="53">
                  <c:v>5.2258424326870057E-3</c:v>
                </c:pt>
                <c:pt idx="54">
                  <c:v>5.2241269095855553E-3</c:v>
                </c:pt>
                <c:pt idx="55">
                  <c:v>5.2255213396471059E-3</c:v>
                </c:pt>
                <c:pt idx="56">
                  <c:v>5.2300257228716351E-3</c:v>
                </c:pt>
                <c:pt idx="57">
                  <c:v>5.2376400592591601E-3</c:v>
                </c:pt>
                <c:pt idx="58">
                  <c:v>5.2483643488096705E-3</c:v>
                </c:pt>
                <c:pt idx="59">
                  <c:v>5.2621985915231838E-3</c:v>
                </c:pt>
                <c:pt idx="60">
                  <c:v>5.2791427873996773E-3</c:v>
                </c:pt>
                <c:pt idx="61">
                  <c:v>5.2991969364391709E-3</c:v>
                </c:pt>
                <c:pt idx="62">
                  <c:v>5.3223610386416449E-3</c:v>
                </c:pt>
                <c:pt idx="63">
                  <c:v>5.3486350940071276E-3</c:v>
                </c:pt>
                <c:pt idx="64">
                  <c:v>5.3780191025355889E-3</c:v>
                </c:pt>
                <c:pt idx="65">
                  <c:v>5.4105130642270391E-3</c:v>
                </c:pt>
                <c:pt idx="66">
                  <c:v>5.4461169790814886E-3</c:v>
                </c:pt>
                <c:pt idx="67">
                  <c:v>5.484830847098927E-3</c:v>
                </c:pt>
                <c:pt idx="68">
                  <c:v>5.5266546682793587E-3</c:v>
                </c:pt>
                <c:pt idx="69">
                  <c:v>5.5715884426227776E-3</c:v>
                </c:pt>
                <c:pt idx="70">
                  <c:v>5.6196321701291914E-3</c:v>
                </c:pt>
                <c:pt idx="71">
                  <c:v>5.6707858507985915E-3</c:v>
                </c:pt>
                <c:pt idx="72">
                  <c:v>5.7250494846309867E-3</c:v>
                </c:pt>
                <c:pt idx="73">
                  <c:v>5.782423071626375E-3</c:v>
                </c:pt>
                <c:pt idx="74">
                  <c:v>5.8429066117847445E-3</c:v>
                </c:pt>
                <c:pt idx="75">
                  <c:v>5.9065001051061203E-3</c:v>
                </c:pt>
                <c:pt idx="76">
                  <c:v>5.973203551590478E-3</c:v>
                </c:pt>
                <c:pt idx="77">
                  <c:v>6.0430169512378281E-3</c:v>
                </c:pt>
                <c:pt idx="78">
                  <c:v>6.1159403040481741E-3</c:v>
                </c:pt>
                <c:pt idx="79">
                  <c:v>6.1919736100215133E-3</c:v>
                </c:pt>
                <c:pt idx="80">
                  <c:v>6.2711168691578327E-3</c:v>
                </c:pt>
              </c:numCache>
            </c:numRef>
          </c:val>
          <c:extLst>
            <c:ext xmlns:c16="http://schemas.microsoft.com/office/drawing/2014/chart" uri="{C3380CC4-5D6E-409C-BE32-E72D297353CC}">
              <c16:uniqueId val="{00000016-A84F-4AFF-90AD-1264CB609548}"/>
            </c:ext>
          </c:extLst>
        </c:ser>
        <c:ser>
          <c:idx val="23"/>
          <c:order val="23"/>
          <c:tx>
            <c:strRef>
              <c:f>Interpolation!$S$26</c:f>
              <c:strCache>
                <c:ptCount val="1"/>
                <c:pt idx="0">
                  <c:v>32.3</c:v>
                </c:pt>
              </c:strCache>
            </c:strRef>
          </c:tx>
          <c:spPr>
            <a:solidFill>
              <a:schemeClr val="accent6">
                <a:lumMod val="8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Interpolation!$T$26:$CV$26</c:f>
              <c:numCache>
                <c:formatCode>General</c:formatCode>
                <c:ptCount val="81"/>
                <c:pt idx="0">
                  <c:v>9.7436453996541123E-3</c:v>
                </c:pt>
                <c:pt idx="1">
                  <c:v>9.5770071283313857E-3</c:v>
                </c:pt>
                <c:pt idx="2">
                  <c:v>9.4134788101716532E-3</c:v>
                </c:pt>
                <c:pt idx="3">
                  <c:v>9.2530604451749147E-3</c:v>
                </c:pt>
                <c:pt idx="4">
                  <c:v>9.0957520333411705E-3</c:v>
                </c:pt>
                <c:pt idx="5">
                  <c:v>8.9415535746704064E-3</c:v>
                </c:pt>
                <c:pt idx="6">
                  <c:v>8.7904650691626365E-3</c:v>
                </c:pt>
                <c:pt idx="7">
                  <c:v>8.6424865168178468E-3</c:v>
                </c:pt>
                <c:pt idx="8">
                  <c:v>8.4976179176360651E-3</c:v>
                </c:pt>
                <c:pt idx="9">
                  <c:v>8.3558592716172775E-3</c:v>
                </c:pt>
                <c:pt idx="10">
                  <c:v>8.2172105787614701E-3</c:v>
                </c:pt>
                <c:pt idx="11">
                  <c:v>8.0816718390686569E-3</c:v>
                </c:pt>
                <c:pt idx="12">
                  <c:v>7.9492430525388378E-3</c:v>
                </c:pt>
                <c:pt idx="13">
                  <c:v>7.8199242191720128E-3</c:v>
                </c:pt>
                <c:pt idx="14">
                  <c:v>7.6937153389681672E-3</c:v>
                </c:pt>
                <c:pt idx="15">
                  <c:v>7.5706164119273235E-3</c:v>
                </c:pt>
                <c:pt idx="16">
                  <c:v>7.450627438049467E-3</c:v>
                </c:pt>
                <c:pt idx="17">
                  <c:v>7.3337484173345976E-3</c:v>
                </c:pt>
                <c:pt idx="18">
                  <c:v>7.2199793497827293E-3</c:v>
                </c:pt>
                <c:pt idx="19">
                  <c:v>7.1093202353938482E-3</c:v>
                </c:pt>
                <c:pt idx="20">
                  <c:v>7.0017710741679543E-3</c:v>
                </c:pt>
                <c:pt idx="21">
                  <c:v>6.8973318661050605E-3</c:v>
                </c:pt>
                <c:pt idx="22">
                  <c:v>6.7960026112051548E-3</c:v>
                </c:pt>
                <c:pt idx="23">
                  <c:v>6.6977833094682363E-3</c:v>
                </c:pt>
                <c:pt idx="24">
                  <c:v>6.6026739608943119E-3</c:v>
                </c:pt>
                <c:pt idx="25">
                  <c:v>6.5106745654833747E-3</c:v>
                </c:pt>
                <c:pt idx="26">
                  <c:v>6.4217851232354385E-3</c:v>
                </c:pt>
                <c:pt idx="27">
                  <c:v>6.3360056341504895E-3</c:v>
                </c:pt>
                <c:pt idx="28">
                  <c:v>6.2533360982285277E-3</c:v>
                </c:pt>
                <c:pt idx="29">
                  <c:v>6.17377651546956E-3</c:v>
                </c:pt>
                <c:pt idx="30">
                  <c:v>6.0973268858735856E-3</c:v>
                </c:pt>
                <c:pt idx="31">
                  <c:v>6.0239872094406E-3</c:v>
                </c:pt>
                <c:pt idx="32">
                  <c:v>5.9537574861706077E-3</c:v>
                </c:pt>
                <c:pt idx="33">
                  <c:v>5.8866377160636018E-3</c:v>
                </c:pt>
                <c:pt idx="34">
                  <c:v>5.8226278991195908E-3</c:v>
                </c:pt>
                <c:pt idx="35">
                  <c:v>5.7617280353385739E-3</c:v>
                </c:pt>
                <c:pt idx="36">
                  <c:v>5.7039381247205442E-3</c:v>
                </c:pt>
                <c:pt idx="37">
                  <c:v>5.6492581672655086E-3</c:v>
                </c:pt>
                <c:pt idx="38">
                  <c:v>5.5976881629734663E-3</c:v>
                </c:pt>
                <c:pt idx="39">
                  <c:v>5.549228111844412E-3</c:v>
                </c:pt>
                <c:pt idx="40">
                  <c:v>5.5038780138783449E-3</c:v>
                </c:pt>
                <c:pt idx="41">
                  <c:v>5.4616378690752719E-3</c:v>
                </c:pt>
                <c:pt idx="42">
                  <c:v>5.422507677435193E-3</c:v>
                </c:pt>
                <c:pt idx="43">
                  <c:v>5.3864874389581083E-3</c:v>
                </c:pt>
                <c:pt idx="44">
                  <c:v>5.3535771536440107E-3</c:v>
                </c:pt>
                <c:pt idx="45">
                  <c:v>5.3237768214929072E-3</c:v>
                </c:pt>
                <c:pt idx="46">
                  <c:v>5.297086442504791E-3</c:v>
                </c:pt>
                <c:pt idx="47">
                  <c:v>5.2735060166796688E-3</c:v>
                </c:pt>
                <c:pt idx="48">
                  <c:v>5.2530355440175407E-3</c:v>
                </c:pt>
                <c:pt idx="49">
                  <c:v>5.2356750245183999E-3</c:v>
                </c:pt>
                <c:pt idx="50">
                  <c:v>5.2214244581822453E-3</c:v>
                </c:pt>
                <c:pt idx="51">
                  <c:v>5.2102838450090927E-3</c:v>
                </c:pt>
                <c:pt idx="52">
                  <c:v>5.2022531849989272E-3</c:v>
                </c:pt>
                <c:pt idx="53">
                  <c:v>5.1973324781517489E-3</c:v>
                </c:pt>
                <c:pt idx="54">
                  <c:v>5.1955217244675639E-3</c:v>
                </c:pt>
                <c:pt idx="55">
                  <c:v>5.1968209239463816E-3</c:v>
                </c:pt>
                <c:pt idx="56">
                  <c:v>5.2012300765881779E-3</c:v>
                </c:pt>
                <c:pt idx="57">
                  <c:v>5.2087491823929691E-3</c:v>
                </c:pt>
                <c:pt idx="58">
                  <c:v>5.2193782413607476E-3</c:v>
                </c:pt>
                <c:pt idx="59">
                  <c:v>5.2331172534915271E-3</c:v>
                </c:pt>
                <c:pt idx="60">
                  <c:v>5.2499662187852868E-3</c:v>
                </c:pt>
                <c:pt idx="61">
                  <c:v>5.2699251372420475E-3</c:v>
                </c:pt>
                <c:pt idx="62">
                  <c:v>5.2929940088617886E-3</c:v>
                </c:pt>
                <c:pt idx="63">
                  <c:v>5.3191728336445376E-3</c:v>
                </c:pt>
                <c:pt idx="64">
                  <c:v>5.3484616115902668E-3</c:v>
                </c:pt>
                <c:pt idx="65">
                  <c:v>5.3808603426989832E-3</c:v>
                </c:pt>
                <c:pt idx="66">
                  <c:v>5.4163690269706999E-3</c:v>
                </c:pt>
                <c:pt idx="67">
                  <c:v>5.4549876644054045E-3</c:v>
                </c:pt>
                <c:pt idx="68">
                  <c:v>5.4967162550031033E-3</c:v>
                </c:pt>
                <c:pt idx="69">
                  <c:v>5.5415547987637892E-3</c:v>
                </c:pt>
                <c:pt idx="70">
                  <c:v>5.5895032956874684E-3</c:v>
                </c:pt>
                <c:pt idx="71">
                  <c:v>5.6405617457741357E-3</c:v>
                </c:pt>
                <c:pt idx="72">
                  <c:v>5.6947301490237979E-3</c:v>
                </c:pt>
                <c:pt idx="73">
                  <c:v>5.7520085054364534E-3</c:v>
                </c:pt>
                <c:pt idx="74">
                  <c:v>5.8123968150120891E-3</c:v>
                </c:pt>
                <c:pt idx="75">
                  <c:v>5.875895077750732E-3</c:v>
                </c:pt>
                <c:pt idx="76">
                  <c:v>5.9425032936523559E-3</c:v>
                </c:pt>
                <c:pt idx="77">
                  <c:v>6.012221462716974E-3</c:v>
                </c:pt>
                <c:pt idx="78">
                  <c:v>6.0850495849445862E-3</c:v>
                </c:pt>
                <c:pt idx="79">
                  <c:v>6.1609876603351925E-3</c:v>
                </c:pt>
                <c:pt idx="80">
                  <c:v>6.240035688888779E-3</c:v>
                </c:pt>
              </c:numCache>
            </c:numRef>
          </c:val>
          <c:extLst>
            <c:ext xmlns:c16="http://schemas.microsoft.com/office/drawing/2014/chart" uri="{C3380CC4-5D6E-409C-BE32-E72D297353CC}">
              <c16:uniqueId val="{00000017-A84F-4AFF-90AD-1264CB609548}"/>
            </c:ext>
          </c:extLst>
        </c:ser>
        <c:ser>
          <c:idx val="24"/>
          <c:order val="24"/>
          <c:tx>
            <c:strRef>
              <c:f>Interpolation!$S$27</c:f>
              <c:strCache>
                <c:ptCount val="1"/>
                <c:pt idx="0">
                  <c:v>32.4</c:v>
                </c:pt>
              </c:strCache>
            </c:strRef>
          </c:tx>
          <c:spPr>
            <a:solidFill>
              <a:schemeClr val="accent1">
                <a:lumMod val="60000"/>
                <a:lumOff val="4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Interpolation!$T$27:$CV$27</c:f>
              <c:numCache>
                <c:formatCode>General</c:formatCode>
                <c:ptCount val="81"/>
                <c:pt idx="0">
                  <c:v>9.7210831197305347E-3</c:v>
                </c:pt>
                <c:pt idx="1">
                  <c:v>9.5543496178250743E-3</c:v>
                </c:pt>
                <c:pt idx="2">
                  <c:v>9.390726069082608E-3</c:v>
                </c:pt>
                <c:pt idx="3">
                  <c:v>9.2302124735031358E-3</c:v>
                </c:pt>
                <c:pt idx="4">
                  <c:v>9.0728088310866595E-3</c:v>
                </c:pt>
                <c:pt idx="5">
                  <c:v>8.9185151418331617E-3</c:v>
                </c:pt>
                <c:pt idx="6">
                  <c:v>8.767331405742658E-3</c:v>
                </c:pt>
                <c:pt idx="7">
                  <c:v>8.6192576228151345E-3</c:v>
                </c:pt>
                <c:pt idx="8">
                  <c:v>8.4742937930506208E-3</c:v>
                </c:pt>
                <c:pt idx="9">
                  <c:v>8.3324399164490994E-3</c:v>
                </c:pt>
                <c:pt idx="10">
                  <c:v>8.1936959930105583E-3</c:v>
                </c:pt>
                <c:pt idx="11">
                  <c:v>8.0580620227350113E-3</c:v>
                </c:pt>
                <c:pt idx="12">
                  <c:v>7.9255380056224602E-3</c:v>
                </c:pt>
                <c:pt idx="13">
                  <c:v>7.7961239416729014E-3</c:v>
                </c:pt>
                <c:pt idx="14">
                  <c:v>7.6698198308863229E-3</c:v>
                </c:pt>
                <c:pt idx="15">
                  <c:v>7.5466256732627463E-3</c:v>
                </c:pt>
                <c:pt idx="16">
                  <c:v>7.426541468802156E-3</c:v>
                </c:pt>
                <c:pt idx="17">
                  <c:v>7.3095672175045538E-3</c:v>
                </c:pt>
                <c:pt idx="18">
                  <c:v>7.1957029193699517E-3</c:v>
                </c:pt>
                <c:pt idx="19">
                  <c:v>7.0849485743983377E-3</c:v>
                </c:pt>
                <c:pt idx="20">
                  <c:v>6.9773041825897109E-3</c:v>
                </c:pt>
                <c:pt idx="21">
                  <c:v>6.8727697439440842E-3</c:v>
                </c:pt>
                <c:pt idx="22">
                  <c:v>6.7713452584614447E-3</c:v>
                </c:pt>
                <c:pt idx="23">
                  <c:v>6.6730307261417933E-3</c:v>
                </c:pt>
                <c:pt idx="24">
                  <c:v>6.577826146985136E-3</c:v>
                </c:pt>
                <c:pt idx="25">
                  <c:v>6.485731520991465E-3</c:v>
                </c:pt>
                <c:pt idx="26">
                  <c:v>6.396746848160796E-3</c:v>
                </c:pt>
                <c:pt idx="27">
                  <c:v>6.3108721284931132E-3</c:v>
                </c:pt>
                <c:pt idx="28">
                  <c:v>6.2281073619884185E-3</c:v>
                </c:pt>
                <c:pt idx="29">
                  <c:v>6.148452548646717E-3</c:v>
                </c:pt>
                <c:pt idx="30">
                  <c:v>6.0719076884680097E-3</c:v>
                </c:pt>
                <c:pt idx="31">
                  <c:v>5.9984727814522904E-3</c:v>
                </c:pt>
                <c:pt idx="32">
                  <c:v>5.9281478275995652E-3</c:v>
                </c:pt>
                <c:pt idx="33">
                  <c:v>5.8609328269098263E-3</c:v>
                </c:pt>
                <c:pt idx="34">
                  <c:v>5.7968277793830824E-3</c:v>
                </c:pt>
                <c:pt idx="35">
                  <c:v>5.7358326850193318E-3</c:v>
                </c:pt>
                <c:pt idx="36">
                  <c:v>5.6779475438185692E-3</c:v>
                </c:pt>
                <c:pt idx="37">
                  <c:v>5.6231723557807999E-3</c:v>
                </c:pt>
                <c:pt idx="38">
                  <c:v>5.5715071209060255E-3</c:v>
                </c:pt>
                <c:pt idx="39">
                  <c:v>5.5229518391942374E-3</c:v>
                </c:pt>
                <c:pt idx="40">
                  <c:v>5.4775065106454374E-3</c:v>
                </c:pt>
                <c:pt idx="41">
                  <c:v>5.4351711352596307E-3</c:v>
                </c:pt>
                <c:pt idx="42">
                  <c:v>5.3959457130368189E-3</c:v>
                </c:pt>
                <c:pt idx="43">
                  <c:v>5.3598302439770013E-3</c:v>
                </c:pt>
                <c:pt idx="44">
                  <c:v>5.3268247280801699E-3</c:v>
                </c:pt>
                <c:pt idx="45">
                  <c:v>5.2969291653463327E-3</c:v>
                </c:pt>
                <c:pt idx="46">
                  <c:v>5.2701435557754835E-3</c:v>
                </c:pt>
                <c:pt idx="47">
                  <c:v>5.2464678993676284E-3</c:v>
                </c:pt>
                <c:pt idx="48">
                  <c:v>5.2259021961227666E-3</c:v>
                </c:pt>
                <c:pt idx="49">
                  <c:v>5.208446446040892E-3</c:v>
                </c:pt>
                <c:pt idx="50">
                  <c:v>5.1941006491220054E-3</c:v>
                </c:pt>
                <c:pt idx="51">
                  <c:v>5.1828648053661198E-3</c:v>
                </c:pt>
                <c:pt idx="52">
                  <c:v>5.1747389147732206E-3</c:v>
                </c:pt>
                <c:pt idx="53">
                  <c:v>5.1697229773433086E-3</c:v>
                </c:pt>
                <c:pt idx="54">
                  <c:v>5.1678169930763915E-3</c:v>
                </c:pt>
                <c:pt idx="55">
                  <c:v>5.1690209619724755E-3</c:v>
                </c:pt>
                <c:pt idx="56">
                  <c:v>5.1733348840315389E-3</c:v>
                </c:pt>
                <c:pt idx="57">
                  <c:v>5.1807587592535963E-3</c:v>
                </c:pt>
                <c:pt idx="58">
                  <c:v>5.1912925876386419E-3</c:v>
                </c:pt>
                <c:pt idx="59">
                  <c:v>5.2049363691866884E-3</c:v>
                </c:pt>
                <c:pt idx="60">
                  <c:v>5.2216901038977144E-3</c:v>
                </c:pt>
                <c:pt idx="61">
                  <c:v>5.2415537917717423E-3</c:v>
                </c:pt>
                <c:pt idx="62">
                  <c:v>5.2645274328087504E-3</c:v>
                </c:pt>
                <c:pt idx="63">
                  <c:v>5.2906110270087656E-3</c:v>
                </c:pt>
                <c:pt idx="64">
                  <c:v>5.3198045743717611E-3</c:v>
                </c:pt>
                <c:pt idx="65">
                  <c:v>5.3521080748977438E-3</c:v>
                </c:pt>
                <c:pt idx="66">
                  <c:v>5.3875215285867284E-3</c:v>
                </c:pt>
                <c:pt idx="67">
                  <c:v>5.4260449354387001E-3</c:v>
                </c:pt>
                <c:pt idx="68">
                  <c:v>5.4676782954536651E-3</c:v>
                </c:pt>
                <c:pt idx="69">
                  <c:v>5.5124216086316173E-3</c:v>
                </c:pt>
                <c:pt idx="70">
                  <c:v>5.5602748749725645E-3</c:v>
                </c:pt>
                <c:pt idx="71">
                  <c:v>5.6112380944764988E-3</c:v>
                </c:pt>
                <c:pt idx="72">
                  <c:v>5.6653112671434264E-3</c:v>
                </c:pt>
                <c:pt idx="73">
                  <c:v>5.722494392973349E-3</c:v>
                </c:pt>
                <c:pt idx="74">
                  <c:v>5.7827874719662518E-3</c:v>
                </c:pt>
                <c:pt idx="75">
                  <c:v>5.8461905041221618E-3</c:v>
                </c:pt>
                <c:pt idx="76">
                  <c:v>5.912703489441052E-3</c:v>
                </c:pt>
                <c:pt idx="77">
                  <c:v>5.9823264279229372E-3</c:v>
                </c:pt>
                <c:pt idx="78">
                  <c:v>6.0550593195678164E-3</c:v>
                </c:pt>
                <c:pt idx="79">
                  <c:v>6.130902164375689E-3</c:v>
                </c:pt>
                <c:pt idx="80">
                  <c:v>6.2098549623465418E-3</c:v>
                </c:pt>
              </c:numCache>
            </c:numRef>
          </c:val>
          <c:extLst>
            <c:ext xmlns:c16="http://schemas.microsoft.com/office/drawing/2014/chart" uri="{C3380CC4-5D6E-409C-BE32-E72D297353CC}">
              <c16:uniqueId val="{00000018-A84F-4AFF-90AD-1264CB609548}"/>
            </c:ext>
          </c:extLst>
        </c:ser>
        <c:ser>
          <c:idx val="25"/>
          <c:order val="25"/>
          <c:tx>
            <c:strRef>
              <c:f>Interpolation!$S$28</c:f>
              <c:strCache>
                <c:ptCount val="1"/>
                <c:pt idx="0">
                  <c:v>32.5</c:v>
                </c:pt>
              </c:strCache>
            </c:strRef>
          </c:tx>
          <c:spPr>
            <a:solidFill>
              <a:schemeClr val="accent2">
                <a:lumMod val="60000"/>
                <a:lumOff val="4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Interpolation!$T$28:$CV$28</c:f>
              <c:numCache>
                <c:formatCode>General</c:formatCode>
                <c:ptCount val="81"/>
                <c:pt idx="0">
                  <c:v>9.6994212935337595E-3</c:v>
                </c:pt>
                <c:pt idx="1">
                  <c:v>9.5325925610455654E-3</c:v>
                </c:pt>
                <c:pt idx="2">
                  <c:v>9.368873781720367E-3</c:v>
                </c:pt>
                <c:pt idx="3">
                  <c:v>9.2082649555581611E-3</c:v>
                </c:pt>
                <c:pt idx="4">
                  <c:v>9.050766082558951E-3</c:v>
                </c:pt>
                <c:pt idx="5">
                  <c:v>8.8963771627227212E-3</c:v>
                </c:pt>
                <c:pt idx="6">
                  <c:v>8.7450981960494837E-3</c:v>
                </c:pt>
                <c:pt idx="7">
                  <c:v>8.5969291825392282E-3</c:v>
                </c:pt>
                <c:pt idx="8">
                  <c:v>8.451870122191979E-3</c:v>
                </c:pt>
                <c:pt idx="9">
                  <c:v>8.3099210150077256E-3</c:v>
                </c:pt>
                <c:pt idx="10">
                  <c:v>8.1710818609864507E-3</c:v>
                </c:pt>
                <c:pt idx="11">
                  <c:v>8.0353526601281717E-3</c:v>
                </c:pt>
                <c:pt idx="12">
                  <c:v>7.9027334124328868E-3</c:v>
                </c:pt>
                <c:pt idx="13">
                  <c:v>7.7732241179005943E-3</c:v>
                </c:pt>
                <c:pt idx="14">
                  <c:v>7.6468247765312837E-3</c:v>
                </c:pt>
                <c:pt idx="15">
                  <c:v>7.5235353883249733E-3</c:v>
                </c:pt>
                <c:pt idx="16">
                  <c:v>7.4033559532816502E-3</c:v>
                </c:pt>
                <c:pt idx="17">
                  <c:v>7.2862864714013141E-3</c:v>
                </c:pt>
                <c:pt idx="18">
                  <c:v>7.1723269426839792E-3</c:v>
                </c:pt>
                <c:pt idx="19">
                  <c:v>7.0614773671296314E-3</c:v>
                </c:pt>
                <c:pt idx="20">
                  <c:v>6.9537377447382708E-3</c:v>
                </c:pt>
                <c:pt idx="21">
                  <c:v>6.8491080755099121E-3</c:v>
                </c:pt>
                <c:pt idx="22">
                  <c:v>6.7475883594445389E-3</c:v>
                </c:pt>
                <c:pt idx="23">
                  <c:v>6.6491785965421546E-3</c:v>
                </c:pt>
                <c:pt idx="24">
                  <c:v>6.5538787868027635E-3</c:v>
                </c:pt>
                <c:pt idx="25">
                  <c:v>6.4616889302263596E-3</c:v>
                </c:pt>
                <c:pt idx="26">
                  <c:v>6.3726090268129568E-3</c:v>
                </c:pt>
                <c:pt idx="27">
                  <c:v>6.2866390765625411E-3</c:v>
                </c:pt>
                <c:pt idx="28">
                  <c:v>6.2037790794751135E-3</c:v>
                </c:pt>
                <c:pt idx="29">
                  <c:v>6.1240290355506783E-3</c:v>
                </c:pt>
                <c:pt idx="30">
                  <c:v>6.0473889447892389E-3</c:v>
                </c:pt>
                <c:pt idx="31">
                  <c:v>5.9738588071907859E-3</c:v>
                </c:pt>
                <c:pt idx="32">
                  <c:v>5.9034386227553269E-3</c:v>
                </c:pt>
                <c:pt idx="33">
                  <c:v>5.8361283914828551E-3</c:v>
                </c:pt>
                <c:pt idx="34">
                  <c:v>5.7719281133733775E-3</c:v>
                </c:pt>
                <c:pt idx="35">
                  <c:v>5.7108377884268948E-3</c:v>
                </c:pt>
                <c:pt idx="36">
                  <c:v>5.6528574166433984E-3</c:v>
                </c:pt>
                <c:pt idx="37">
                  <c:v>5.5979869980228962E-3</c:v>
                </c:pt>
                <c:pt idx="38">
                  <c:v>5.5462265325653881E-3</c:v>
                </c:pt>
                <c:pt idx="39">
                  <c:v>5.4975760202708671E-3</c:v>
                </c:pt>
                <c:pt idx="40">
                  <c:v>5.4520354611393334E-3</c:v>
                </c:pt>
                <c:pt idx="41">
                  <c:v>5.4096048551707937E-3</c:v>
                </c:pt>
                <c:pt idx="42">
                  <c:v>5.370284202365249E-3</c:v>
                </c:pt>
                <c:pt idx="43">
                  <c:v>5.3340735027226976E-3</c:v>
                </c:pt>
                <c:pt idx="44">
                  <c:v>5.3009727562431334E-3</c:v>
                </c:pt>
                <c:pt idx="45">
                  <c:v>5.2709819629265632E-3</c:v>
                </c:pt>
                <c:pt idx="46">
                  <c:v>5.2441011227729803E-3</c:v>
                </c:pt>
                <c:pt idx="47">
                  <c:v>5.2203302357823923E-3</c:v>
                </c:pt>
                <c:pt idx="48">
                  <c:v>5.1996693019547967E-3</c:v>
                </c:pt>
                <c:pt idx="49">
                  <c:v>5.1821183212901901E-3</c:v>
                </c:pt>
                <c:pt idx="50">
                  <c:v>5.1676772937885697E-3</c:v>
                </c:pt>
                <c:pt idx="51">
                  <c:v>5.1563462194499504E-3</c:v>
                </c:pt>
                <c:pt idx="52">
                  <c:v>5.1481250982743183E-3</c:v>
                </c:pt>
                <c:pt idx="53">
                  <c:v>5.1430139302616733E-3</c:v>
                </c:pt>
                <c:pt idx="54">
                  <c:v>5.1410127154120225E-3</c:v>
                </c:pt>
                <c:pt idx="55">
                  <c:v>5.1421214537253727E-3</c:v>
                </c:pt>
                <c:pt idx="56">
                  <c:v>5.1463401452017041E-3</c:v>
                </c:pt>
                <c:pt idx="57">
                  <c:v>5.1536687898410278E-3</c:v>
                </c:pt>
                <c:pt idx="58">
                  <c:v>5.1641073876433404E-3</c:v>
                </c:pt>
                <c:pt idx="59">
                  <c:v>5.1776559386086541E-3</c:v>
                </c:pt>
                <c:pt idx="60">
                  <c:v>5.1943144427369463E-3</c:v>
                </c:pt>
                <c:pt idx="61">
                  <c:v>5.2140829000282413E-3</c:v>
                </c:pt>
                <c:pt idx="62">
                  <c:v>5.2369613104825147E-3</c:v>
                </c:pt>
                <c:pt idx="63">
                  <c:v>5.262949674099798E-3</c:v>
                </c:pt>
                <c:pt idx="64">
                  <c:v>5.2920479908800605E-3</c:v>
                </c:pt>
                <c:pt idx="65">
                  <c:v>5.3242562608233103E-3</c:v>
                </c:pt>
                <c:pt idx="66">
                  <c:v>5.3595744839295611E-3</c:v>
                </c:pt>
                <c:pt idx="67">
                  <c:v>5.3980026601987991E-3</c:v>
                </c:pt>
                <c:pt idx="68">
                  <c:v>5.4395407896310312E-3</c:v>
                </c:pt>
                <c:pt idx="69">
                  <c:v>5.4841888722262505E-3</c:v>
                </c:pt>
                <c:pt idx="70">
                  <c:v>5.5319469079844648E-3</c:v>
                </c:pt>
                <c:pt idx="71">
                  <c:v>5.5828148969056645E-3</c:v>
                </c:pt>
                <c:pt idx="72">
                  <c:v>5.6367928389898601E-3</c:v>
                </c:pt>
                <c:pt idx="73">
                  <c:v>5.6938807342370498E-3</c:v>
                </c:pt>
                <c:pt idx="74">
                  <c:v>5.7540785826472179E-3</c:v>
                </c:pt>
                <c:pt idx="75">
                  <c:v>5.8173863842203959E-3</c:v>
                </c:pt>
                <c:pt idx="76">
                  <c:v>5.8838041389565523E-3</c:v>
                </c:pt>
                <c:pt idx="77">
                  <c:v>5.9533318468557046E-3</c:v>
                </c:pt>
                <c:pt idx="78">
                  <c:v>6.0259695079178492E-3</c:v>
                </c:pt>
                <c:pt idx="79">
                  <c:v>6.1017171221429897E-3</c:v>
                </c:pt>
                <c:pt idx="80">
                  <c:v>6.1805746895311096E-3</c:v>
                </c:pt>
              </c:numCache>
            </c:numRef>
          </c:val>
          <c:extLst>
            <c:ext xmlns:c16="http://schemas.microsoft.com/office/drawing/2014/chart" uri="{C3380CC4-5D6E-409C-BE32-E72D297353CC}">
              <c16:uniqueId val="{00000019-A84F-4AFF-90AD-1264CB609548}"/>
            </c:ext>
          </c:extLst>
        </c:ser>
        <c:ser>
          <c:idx val="26"/>
          <c:order val="26"/>
          <c:tx>
            <c:strRef>
              <c:f>Interpolation!$S$29</c:f>
              <c:strCache>
                <c:ptCount val="1"/>
                <c:pt idx="0">
                  <c:v>32.6</c:v>
                </c:pt>
              </c:strCache>
            </c:strRef>
          </c:tx>
          <c:spPr>
            <a:solidFill>
              <a:schemeClr val="accent3">
                <a:lumMod val="60000"/>
                <a:lumOff val="4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Interpolation!$T$29:$CV$29</c:f>
              <c:numCache>
                <c:formatCode>General</c:formatCode>
                <c:ptCount val="81"/>
                <c:pt idx="0">
                  <c:v>9.6786599210638095E-3</c:v>
                </c:pt>
                <c:pt idx="1">
                  <c:v>9.5117359579928833E-3</c:v>
                </c:pt>
                <c:pt idx="2">
                  <c:v>9.3479219480849512E-3</c:v>
                </c:pt>
                <c:pt idx="3">
                  <c:v>9.1872178913400132E-3</c:v>
                </c:pt>
                <c:pt idx="4">
                  <c:v>9.0296237877580676E-3</c:v>
                </c:pt>
                <c:pt idx="5">
                  <c:v>8.875139637339104E-3</c:v>
                </c:pt>
                <c:pt idx="6">
                  <c:v>8.7237654400831345E-3</c:v>
                </c:pt>
                <c:pt idx="7">
                  <c:v>8.5755011959901453E-3</c:v>
                </c:pt>
                <c:pt idx="8">
                  <c:v>8.430346905060164E-3</c:v>
                </c:pt>
                <c:pt idx="9">
                  <c:v>8.2883025672931768E-3</c:v>
                </c:pt>
                <c:pt idx="10">
                  <c:v>8.1493681826891699E-3</c:v>
                </c:pt>
                <c:pt idx="11">
                  <c:v>8.0135437512481571E-3</c:v>
                </c:pt>
                <c:pt idx="12">
                  <c:v>7.8808292729701385E-3</c:v>
                </c:pt>
                <c:pt idx="13">
                  <c:v>7.751224747855113E-3</c:v>
                </c:pt>
                <c:pt idx="14">
                  <c:v>7.6247301759030687E-3</c:v>
                </c:pt>
                <c:pt idx="15">
                  <c:v>7.5013455571140246E-3</c:v>
                </c:pt>
                <c:pt idx="16">
                  <c:v>7.3810708914879685E-3</c:v>
                </c:pt>
                <c:pt idx="17">
                  <c:v>7.2639061790248996E-3</c:v>
                </c:pt>
                <c:pt idx="18">
                  <c:v>7.1498514197248317E-3</c:v>
                </c:pt>
                <c:pt idx="19">
                  <c:v>7.0389066135877511E-3</c:v>
                </c:pt>
                <c:pt idx="20">
                  <c:v>6.9310717606136567E-3</c:v>
                </c:pt>
                <c:pt idx="21">
                  <c:v>6.8263468608025643E-3</c:v>
                </c:pt>
                <c:pt idx="22">
                  <c:v>6.724731914154459E-3</c:v>
                </c:pt>
                <c:pt idx="23">
                  <c:v>6.6262269206693401E-3</c:v>
                </c:pt>
                <c:pt idx="24">
                  <c:v>6.5308318803472161E-3</c:v>
                </c:pt>
                <c:pt idx="25">
                  <c:v>6.4385467931880793E-3</c:v>
                </c:pt>
                <c:pt idx="26">
                  <c:v>6.3493716591919436E-3</c:v>
                </c:pt>
                <c:pt idx="27">
                  <c:v>6.263306478358795E-3</c:v>
                </c:pt>
                <c:pt idx="28">
                  <c:v>6.1803512506886328E-3</c:v>
                </c:pt>
                <c:pt idx="29">
                  <c:v>6.1005059761814655E-3</c:v>
                </c:pt>
                <c:pt idx="30">
                  <c:v>6.0237706548372924E-3</c:v>
                </c:pt>
                <c:pt idx="31">
                  <c:v>5.9501452866561064E-3</c:v>
                </c:pt>
                <c:pt idx="32">
                  <c:v>5.8796298716379146E-3</c:v>
                </c:pt>
                <c:pt idx="33">
                  <c:v>5.812224409782709E-3</c:v>
                </c:pt>
                <c:pt idx="34">
                  <c:v>5.7479289010904985E-3</c:v>
                </c:pt>
                <c:pt idx="35">
                  <c:v>5.686743345561282E-3</c:v>
                </c:pt>
                <c:pt idx="36">
                  <c:v>5.6286677431950528E-3</c:v>
                </c:pt>
                <c:pt idx="37">
                  <c:v>5.5737020939918176E-3</c:v>
                </c:pt>
                <c:pt idx="38">
                  <c:v>5.5218463979515757E-3</c:v>
                </c:pt>
                <c:pt idx="39">
                  <c:v>5.4731006550743219E-3</c:v>
                </c:pt>
                <c:pt idx="40">
                  <c:v>5.4274648653600552E-3</c:v>
                </c:pt>
                <c:pt idx="41">
                  <c:v>5.3849390288087818E-3</c:v>
                </c:pt>
                <c:pt idx="42">
                  <c:v>5.3455231454205034E-3</c:v>
                </c:pt>
                <c:pt idx="43">
                  <c:v>5.309217215195219E-3</c:v>
                </c:pt>
                <c:pt idx="44">
                  <c:v>5.2760212381329219E-3</c:v>
                </c:pt>
                <c:pt idx="45">
                  <c:v>5.2459352142336189E-3</c:v>
                </c:pt>
                <c:pt idx="46">
                  <c:v>5.2189591434973022E-3</c:v>
                </c:pt>
                <c:pt idx="47">
                  <c:v>5.1950930259239804E-3</c:v>
                </c:pt>
                <c:pt idx="48">
                  <c:v>5.1743368615136528E-3</c:v>
                </c:pt>
                <c:pt idx="49">
                  <c:v>5.1566906502663124E-3</c:v>
                </c:pt>
                <c:pt idx="50">
                  <c:v>5.1421543921819591E-3</c:v>
                </c:pt>
                <c:pt idx="51">
                  <c:v>5.1307280872606061E-3</c:v>
                </c:pt>
                <c:pt idx="52">
                  <c:v>5.122411735502241E-3</c:v>
                </c:pt>
                <c:pt idx="53">
                  <c:v>5.1172053369068632E-3</c:v>
                </c:pt>
                <c:pt idx="54">
                  <c:v>5.1151088914744795E-3</c:v>
                </c:pt>
                <c:pt idx="55">
                  <c:v>5.1161223992050968E-3</c:v>
                </c:pt>
                <c:pt idx="56">
                  <c:v>5.1202458600986935E-3</c:v>
                </c:pt>
                <c:pt idx="57">
                  <c:v>5.1274792741552843E-3</c:v>
                </c:pt>
                <c:pt idx="58">
                  <c:v>5.1378226413748632E-3</c:v>
                </c:pt>
                <c:pt idx="59">
                  <c:v>5.1512759617574431E-3</c:v>
                </c:pt>
                <c:pt idx="60">
                  <c:v>5.1678392353030032E-3</c:v>
                </c:pt>
                <c:pt idx="61">
                  <c:v>5.1875124620115644E-3</c:v>
                </c:pt>
                <c:pt idx="62">
                  <c:v>5.2102956418831059E-3</c:v>
                </c:pt>
                <c:pt idx="63">
                  <c:v>5.2361887749176553E-3</c:v>
                </c:pt>
                <c:pt idx="64">
                  <c:v>5.265191861115185E-3</c:v>
                </c:pt>
                <c:pt idx="65">
                  <c:v>5.297304900475701E-3</c:v>
                </c:pt>
                <c:pt idx="66">
                  <c:v>5.3325278929992181E-3</c:v>
                </c:pt>
                <c:pt idx="67">
                  <c:v>5.3708608386857232E-3</c:v>
                </c:pt>
                <c:pt idx="68">
                  <c:v>5.4123037375352224E-3</c:v>
                </c:pt>
                <c:pt idx="69">
                  <c:v>5.4568565895477088E-3</c:v>
                </c:pt>
                <c:pt idx="70">
                  <c:v>5.5045193947231893E-3</c:v>
                </c:pt>
                <c:pt idx="71">
                  <c:v>5.555292153061657E-3</c:v>
                </c:pt>
                <c:pt idx="72">
                  <c:v>5.6091748645631188E-3</c:v>
                </c:pt>
                <c:pt idx="73">
                  <c:v>5.6661675292275747E-3</c:v>
                </c:pt>
                <c:pt idx="74">
                  <c:v>5.7262701470550108E-3</c:v>
                </c:pt>
                <c:pt idx="75">
                  <c:v>5.7894827180454541E-3</c:v>
                </c:pt>
                <c:pt idx="76">
                  <c:v>5.8558052421988777E-3</c:v>
                </c:pt>
                <c:pt idx="77">
                  <c:v>5.9252377195152962E-3</c:v>
                </c:pt>
                <c:pt idx="78">
                  <c:v>5.9977801499947088E-3</c:v>
                </c:pt>
                <c:pt idx="79">
                  <c:v>6.0734325336371155E-3</c:v>
                </c:pt>
                <c:pt idx="80">
                  <c:v>6.1521948704425025E-3</c:v>
                </c:pt>
              </c:numCache>
            </c:numRef>
          </c:val>
          <c:extLst>
            <c:ext xmlns:c16="http://schemas.microsoft.com/office/drawing/2014/chart" uri="{C3380CC4-5D6E-409C-BE32-E72D297353CC}">
              <c16:uniqueId val="{0000001A-A84F-4AFF-90AD-1264CB609548}"/>
            </c:ext>
          </c:extLst>
        </c:ser>
        <c:ser>
          <c:idx val="27"/>
          <c:order val="27"/>
          <c:tx>
            <c:strRef>
              <c:f>Interpolation!$S$30</c:f>
              <c:strCache>
                <c:ptCount val="1"/>
                <c:pt idx="0">
                  <c:v>32.7</c:v>
                </c:pt>
              </c:strCache>
            </c:strRef>
          </c:tx>
          <c:spPr>
            <a:solidFill>
              <a:schemeClr val="accent4">
                <a:lumMod val="60000"/>
                <a:lumOff val="4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Interpolation!$T$30:$CV$30</c:f>
              <c:numCache>
                <c:formatCode>General</c:formatCode>
                <c:ptCount val="81"/>
                <c:pt idx="0">
                  <c:v>9.6587990023206845E-3</c:v>
                </c:pt>
                <c:pt idx="1">
                  <c:v>9.4917798086670245E-3</c:v>
                </c:pt>
                <c:pt idx="2">
                  <c:v>9.3278705681763587E-3</c:v>
                </c:pt>
                <c:pt idx="3">
                  <c:v>9.1670712808486886E-3</c:v>
                </c:pt>
                <c:pt idx="4">
                  <c:v>9.009381946684011E-3</c:v>
                </c:pt>
                <c:pt idx="5">
                  <c:v>8.8548025656823137E-3</c:v>
                </c:pt>
                <c:pt idx="6">
                  <c:v>8.7033331378436104E-3</c:v>
                </c:pt>
                <c:pt idx="7">
                  <c:v>8.5549736631678874E-3</c:v>
                </c:pt>
                <c:pt idx="8">
                  <c:v>8.4097241416551741E-3</c:v>
                </c:pt>
                <c:pt idx="9">
                  <c:v>8.2675845733054532E-3</c:v>
                </c:pt>
                <c:pt idx="10">
                  <c:v>8.1285549581187125E-3</c:v>
                </c:pt>
                <c:pt idx="11">
                  <c:v>7.9926352960949659E-3</c:v>
                </c:pt>
                <c:pt idx="12">
                  <c:v>7.8598255872342135E-3</c:v>
                </c:pt>
                <c:pt idx="13">
                  <c:v>7.730125831536456E-3</c:v>
                </c:pt>
                <c:pt idx="14">
                  <c:v>7.6035360290016788E-3</c:v>
                </c:pt>
                <c:pt idx="15">
                  <c:v>7.4800561796299018E-3</c:v>
                </c:pt>
                <c:pt idx="16">
                  <c:v>7.3596862834211119E-3</c:v>
                </c:pt>
                <c:pt idx="17">
                  <c:v>7.2424263403753101E-3</c:v>
                </c:pt>
                <c:pt idx="18">
                  <c:v>7.1282763504925085E-3</c:v>
                </c:pt>
                <c:pt idx="19">
                  <c:v>7.0172363137726949E-3</c:v>
                </c:pt>
                <c:pt idx="20">
                  <c:v>6.9093062302158677E-3</c:v>
                </c:pt>
                <c:pt idx="21">
                  <c:v>6.8044860998220423E-3</c:v>
                </c:pt>
                <c:pt idx="22">
                  <c:v>6.7027759225912033E-3</c:v>
                </c:pt>
                <c:pt idx="23">
                  <c:v>6.6041756985233515E-3</c:v>
                </c:pt>
                <c:pt idx="24">
                  <c:v>6.5086854276184946E-3</c:v>
                </c:pt>
                <c:pt idx="25">
                  <c:v>6.416305109876624E-3</c:v>
                </c:pt>
                <c:pt idx="26">
                  <c:v>6.3270347452977554E-3</c:v>
                </c:pt>
                <c:pt idx="27">
                  <c:v>6.2408743338818731E-3</c:v>
                </c:pt>
                <c:pt idx="28">
                  <c:v>6.1578238756289779E-3</c:v>
                </c:pt>
                <c:pt idx="29">
                  <c:v>6.0778833705390778E-3</c:v>
                </c:pt>
                <c:pt idx="30">
                  <c:v>6.0010528186121709E-3</c:v>
                </c:pt>
                <c:pt idx="31">
                  <c:v>5.927332219848252E-3</c:v>
                </c:pt>
                <c:pt idx="32">
                  <c:v>5.8567215742473264E-3</c:v>
                </c:pt>
                <c:pt idx="33">
                  <c:v>5.789220881809388E-3</c:v>
                </c:pt>
                <c:pt idx="34">
                  <c:v>5.7248301425344445E-3</c:v>
                </c:pt>
                <c:pt idx="35">
                  <c:v>5.6635493564224943E-3</c:v>
                </c:pt>
                <c:pt idx="36">
                  <c:v>5.6053785234735313E-3</c:v>
                </c:pt>
                <c:pt idx="37">
                  <c:v>5.5503176436875632E-3</c:v>
                </c:pt>
                <c:pt idx="38">
                  <c:v>5.4983667170645893E-3</c:v>
                </c:pt>
                <c:pt idx="39">
                  <c:v>5.4495257436046017E-3</c:v>
                </c:pt>
                <c:pt idx="40">
                  <c:v>5.4037947233076013E-3</c:v>
                </c:pt>
                <c:pt idx="41">
                  <c:v>5.3611736561735958E-3</c:v>
                </c:pt>
                <c:pt idx="42">
                  <c:v>5.3216625422025836E-3</c:v>
                </c:pt>
                <c:pt idx="43">
                  <c:v>5.2852613813945664E-3</c:v>
                </c:pt>
                <c:pt idx="44">
                  <c:v>5.2519701737495355E-3</c:v>
                </c:pt>
                <c:pt idx="45">
                  <c:v>5.2217889192674987E-3</c:v>
                </c:pt>
                <c:pt idx="46">
                  <c:v>5.1947176179484491E-3</c:v>
                </c:pt>
                <c:pt idx="47">
                  <c:v>5.1707562697923945E-3</c:v>
                </c:pt>
                <c:pt idx="48">
                  <c:v>5.149904874799334E-3</c:v>
                </c:pt>
                <c:pt idx="49">
                  <c:v>5.1321634329692598E-3</c:v>
                </c:pt>
                <c:pt idx="50">
                  <c:v>5.1175319443021727E-3</c:v>
                </c:pt>
                <c:pt idx="51">
                  <c:v>5.1060104087980876E-3</c:v>
                </c:pt>
                <c:pt idx="52">
                  <c:v>5.0975988264569888E-3</c:v>
                </c:pt>
                <c:pt idx="53">
                  <c:v>5.0922971972788781E-3</c:v>
                </c:pt>
                <c:pt idx="54">
                  <c:v>5.0901055212637606E-3</c:v>
                </c:pt>
                <c:pt idx="55">
                  <c:v>5.0910237984116442E-3</c:v>
                </c:pt>
                <c:pt idx="56">
                  <c:v>5.095052028722508E-3</c:v>
                </c:pt>
                <c:pt idx="57">
                  <c:v>5.1021902121963668E-3</c:v>
                </c:pt>
                <c:pt idx="58">
                  <c:v>5.1124383488332118E-3</c:v>
                </c:pt>
                <c:pt idx="59">
                  <c:v>5.1257964386330589E-3</c:v>
                </c:pt>
                <c:pt idx="60">
                  <c:v>5.1422644815958853E-3</c:v>
                </c:pt>
                <c:pt idx="61">
                  <c:v>5.1618424777217136E-3</c:v>
                </c:pt>
                <c:pt idx="62">
                  <c:v>5.1845304270105221E-3</c:v>
                </c:pt>
                <c:pt idx="63">
                  <c:v>5.2103283294623378E-3</c:v>
                </c:pt>
                <c:pt idx="64">
                  <c:v>5.2392361850771337E-3</c:v>
                </c:pt>
                <c:pt idx="65">
                  <c:v>5.2712539938549168E-3</c:v>
                </c:pt>
                <c:pt idx="66">
                  <c:v>5.306381755795701E-3</c:v>
                </c:pt>
                <c:pt idx="67">
                  <c:v>5.3446194708994732E-3</c:v>
                </c:pt>
                <c:pt idx="68">
                  <c:v>5.3859671391662395E-3</c:v>
                </c:pt>
                <c:pt idx="69">
                  <c:v>5.4304247605959921E-3</c:v>
                </c:pt>
                <c:pt idx="70">
                  <c:v>5.4779923351887388E-3</c:v>
                </c:pt>
                <c:pt idx="71">
                  <c:v>5.5286698629444728E-3</c:v>
                </c:pt>
                <c:pt idx="72">
                  <c:v>5.5824573438632025E-3</c:v>
                </c:pt>
                <c:pt idx="73">
                  <c:v>5.6393547779449247E-3</c:v>
                </c:pt>
                <c:pt idx="74">
                  <c:v>5.6993621651896271E-3</c:v>
                </c:pt>
                <c:pt idx="75">
                  <c:v>5.7624795055973375E-3</c:v>
                </c:pt>
                <c:pt idx="76">
                  <c:v>5.8287067991680281E-3</c:v>
                </c:pt>
                <c:pt idx="77">
                  <c:v>5.8980440459017137E-3</c:v>
                </c:pt>
                <c:pt idx="78">
                  <c:v>5.9704912457983934E-3</c:v>
                </c:pt>
                <c:pt idx="79">
                  <c:v>6.0460483988580664E-3</c:v>
                </c:pt>
                <c:pt idx="80">
                  <c:v>6.1247155050807196E-3</c:v>
                </c:pt>
              </c:numCache>
            </c:numRef>
          </c:val>
          <c:extLst>
            <c:ext xmlns:c16="http://schemas.microsoft.com/office/drawing/2014/chart" uri="{C3380CC4-5D6E-409C-BE32-E72D297353CC}">
              <c16:uniqueId val="{0000001B-A84F-4AFF-90AD-1264CB609548}"/>
            </c:ext>
          </c:extLst>
        </c:ser>
        <c:ser>
          <c:idx val="28"/>
          <c:order val="28"/>
          <c:tx>
            <c:strRef>
              <c:f>Interpolation!$S$31</c:f>
              <c:strCache>
                <c:ptCount val="1"/>
                <c:pt idx="0">
                  <c:v>32.8</c:v>
                </c:pt>
              </c:strCache>
            </c:strRef>
          </c:tx>
          <c:spPr>
            <a:solidFill>
              <a:schemeClr val="accent5">
                <a:lumMod val="60000"/>
                <a:lumOff val="4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Interpolation!$T$31:$CV$31</c:f>
              <c:numCache>
                <c:formatCode>General</c:formatCode>
                <c:ptCount val="81"/>
                <c:pt idx="0">
                  <c:v>9.6398385373043707E-3</c:v>
                </c:pt>
                <c:pt idx="1">
                  <c:v>9.4727241130679787E-3</c:v>
                </c:pt>
                <c:pt idx="2">
                  <c:v>9.308719641994579E-3</c:v>
                </c:pt>
                <c:pt idx="3">
                  <c:v>9.1478251240841753E-3</c:v>
                </c:pt>
                <c:pt idx="4">
                  <c:v>8.9900405593367639E-3</c:v>
                </c:pt>
                <c:pt idx="5">
                  <c:v>8.8353659477523345E-3</c:v>
                </c:pt>
                <c:pt idx="6">
                  <c:v>8.6838012893308975E-3</c:v>
                </c:pt>
                <c:pt idx="7">
                  <c:v>8.5353465840724424E-3</c:v>
                </c:pt>
                <c:pt idx="8">
                  <c:v>8.3900018319769936E-3</c:v>
                </c:pt>
                <c:pt idx="9">
                  <c:v>8.2477670330445407E-3</c:v>
                </c:pt>
                <c:pt idx="10">
                  <c:v>8.1086421872750662E-3</c:v>
                </c:pt>
                <c:pt idx="11">
                  <c:v>7.9726272946685876E-3</c:v>
                </c:pt>
                <c:pt idx="12">
                  <c:v>7.8397223552251014E-3</c:v>
                </c:pt>
                <c:pt idx="13">
                  <c:v>7.7099273689446111E-3</c:v>
                </c:pt>
                <c:pt idx="14">
                  <c:v>7.5832423358271001E-3</c:v>
                </c:pt>
                <c:pt idx="15">
                  <c:v>7.4596672558725902E-3</c:v>
                </c:pt>
                <c:pt idx="16">
                  <c:v>7.3392021290810674E-3</c:v>
                </c:pt>
                <c:pt idx="17">
                  <c:v>7.2218469554525318E-3</c:v>
                </c:pt>
                <c:pt idx="18">
                  <c:v>7.1076017349869973E-3</c:v>
                </c:pt>
                <c:pt idx="19">
                  <c:v>6.99646646768445E-3</c:v>
                </c:pt>
                <c:pt idx="20">
                  <c:v>6.8884411535448898E-3</c:v>
                </c:pt>
                <c:pt idx="21">
                  <c:v>6.7835257925683307E-3</c:v>
                </c:pt>
                <c:pt idx="22">
                  <c:v>6.6817203847547588E-3</c:v>
                </c:pt>
                <c:pt idx="23">
                  <c:v>6.5830249301041741E-3</c:v>
                </c:pt>
                <c:pt idx="24">
                  <c:v>6.4874394286165834E-3</c:v>
                </c:pt>
                <c:pt idx="25">
                  <c:v>6.39496388029198E-3</c:v>
                </c:pt>
                <c:pt idx="26">
                  <c:v>6.3055982851303784E-3</c:v>
                </c:pt>
                <c:pt idx="27">
                  <c:v>6.2193426431317632E-3</c:v>
                </c:pt>
                <c:pt idx="28">
                  <c:v>6.1361969542961352E-3</c:v>
                </c:pt>
                <c:pt idx="29">
                  <c:v>6.0561612186235004E-3</c:v>
                </c:pt>
                <c:pt idx="30">
                  <c:v>5.9792354361138614E-3</c:v>
                </c:pt>
                <c:pt idx="31">
                  <c:v>5.9054196067672088E-3</c:v>
                </c:pt>
                <c:pt idx="32">
                  <c:v>5.8347137305835503E-3</c:v>
                </c:pt>
                <c:pt idx="33">
                  <c:v>5.767117807562879E-3</c:v>
                </c:pt>
                <c:pt idx="34">
                  <c:v>5.7026318377052018E-3</c:v>
                </c:pt>
                <c:pt idx="35">
                  <c:v>5.6412558210105187E-3</c:v>
                </c:pt>
                <c:pt idx="36">
                  <c:v>5.5829897574788227E-3</c:v>
                </c:pt>
                <c:pt idx="37">
                  <c:v>5.5278336471101209E-3</c:v>
                </c:pt>
                <c:pt idx="38">
                  <c:v>5.4757874899044132E-3</c:v>
                </c:pt>
                <c:pt idx="39">
                  <c:v>5.4268512858616927E-3</c:v>
                </c:pt>
                <c:pt idx="40">
                  <c:v>5.3810250349819594E-3</c:v>
                </c:pt>
                <c:pt idx="41">
                  <c:v>5.3383087372652202E-3</c:v>
                </c:pt>
                <c:pt idx="42">
                  <c:v>5.2987023927114751E-3</c:v>
                </c:pt>
                <c:pt idx="43">
                  <c:v>5.2622060013207241E-3</c:v>
                </c:pt>
                <c:pt idx="44">
                  <c:v>5.2288195630929603E-3</c:v>
                </c:pt>
                <c:pt idx="45">
                  <c:v>5.1985430780281906E-3</c:v>
                </c:pt>
                <c:pt idx="46">
                  <c:v>5.1713765461264081E-3</c:v>
                </c:pt>
                <c:pt idx="47">
                  <c:v>5.1473199673876206E-3</c:v>
                </c:pt>
                <c:pt idx="48">
                  <c:v>5.1263733418118254E-3</c:v>
                </c:pt>
                <c:pt idx="49">
                  <c:v>5.1085366693990192E-3</c:v>
                </c:pt>
                <c:pt idx="50">
                  <c:v>5.0938099501491993E-3</c:v>
                </c:pt>
                <c:pt idx="51">
                  <c:v>5.0821931840623804E-3</c:v>
                </c:pt>
                <c:pt idx="52">
                  <c:v>5.0736863711385487E-3</c:v>
                </c:pt>
                <c:pt idx="53">
                  <c:v>5.0682895113777042E-3</c:v>
                </c:pt>
                <c:pt idx="54">
                  <c:v>5.0660026047798529E-3</c:v>
                </c:pt>
                <c:pt idx="55">
                  <c:v>5.0668256513450045E-3</c:v>
                </c:pt>
                <c:pt idx="56">
                  <c:v>5.0707586510731345E-3</c:v>
                </c:pt>
                <c:pt idx="57">
                  <c:v>5.0778016039642604E-3</c:v>
                </c:pt>
                <c:pt idx="58">
                  <c:v>5.0879545100183717E-3</c:v>
                </c:pt>
                <c:pt idx="59">
                  <c:v>5.1012173692354858E-3</c:v>
                </c:pt>
                <c:pt idx="60">
                  <c:v>5.1175901816155793E-3</c:v>
                </c:pt>
                <c:pt idx="61">
                  <c:v>5.1370729471586739E-3</c:v>
                </c:pt>
                <c:pt idx="62">
                  <c:v>5.1596656658647495E-3</c:v>
                </c:pt>
                <c:pt idx="63">
                  <c:v>5.1853683377338314E-3</c:v>
                </c:pt>
                <c:pt idx="64">
                  <c:v>5.2141809627658953E-3</c:v>
                </c:pt>
                <c:pt idx="65">
                  <c:v>5.2461035409609447E-3</c:v>
                </c:pt>
                <c:pt idx="66">
                  <c:v>5.2811360723189959E-3</c:v>
                </c:pt>
                <c:pt idx="67">
                  <c:v>5.3192785568400344E-3</c:v>
                </c:pt>
                <c:pt idx="68">
                  <c:v>5.3605309945240669E-3</c:v>
                </c:pt>
                <c:pt idx="69">
                  <c:v>5.4048933853710866E-3</c:v>
                </c:pt>
                <c:pt idx="70">
                  <c:v>5.4523657293811005E-3</c:v>
                </c:pt>
                <c:pt idx="71">
                  <c:v>5.5029480265541015E-3</c:v>
                </c:pt>
                <c:pt idx="72">
                  <c:v>5.5566402768900975E-3</c:v>
                </c:pt>
                <c:pt idx="73">
                  <c:v>5.6134424803890868E-3</c:v>
                </c:pt>
                <c:pt idx="74">
                  <c:v>5.6733546370510562E-3</c:v>
                </c:pt>
                <c:pt idx="75">
                  <c:v>5.7363767468760329E-3</c:v>
                </c:pt>
                <c:pt idx="76">
                  <c:v>5.8025088098639915E-3</c:v>
                </c:pt>
                <c:pt idx="77">
                  <c:v>5.8717508260149424E-3</c:v>
                </c:pt>
                <c:pt idx="78">
                  <c:v>5.9441027953288893E-3</c:v>
                </c:pt>
                <c:pt idx="79">
                  <c:v>6.0195647178058285E-3</c:v>
                </c:pt>
                <c:pt idx="80">
                  <c:v>6.0981365934457497E-3</c:v>
                </c:pt>
              </c:numCache>
            </c:numRef>
          </c:val>
          <c:extLst>
            <c:ext xmlns:c16="http://schemas.microsoft.com/office/drawing/2014/chart" uri="{C3380CC4-5D6E-409C-BE32-E72D297353CC}">
              <c16:uniqueId val="{0000001C-A84F-4AFF-90AD-1264CB609548}"/>
            </c:ext>
          </c:extLst>
        </c:ser>
        <c:ser>
          <c:idx val="29"/>
          <c:order val="29"/>
          <c:tx>
            <c:strRef>
              <c:f>Interpolation!$S$32</c:f>
              <c:strCache>
                <c:ptCount val="1"/>
                <c:pt idx="0">
                  <c:v>32.9</c:v>
                </c:pt>
              </c:strCache>
            </c:strRef>
          </c:tx>
          <c:spPr>
            <a:solidFill>
              <a:schemeClr val="accent6">
                <a:lumMod val="60000"/>
                <a:lumOff val="4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Interpolation!$T$32:$CV$32</c:f>
              <c:numCache>
                <c:formatCode>General</c:formatCode>
                <c:ptCount val="81"/>
                <c:pt idx="0">
                  <c:v>9.621778526014875E-3</c:v>
                </c:pt>
                <c:pt idx="1">
                  <c:v>9.4545688711957492E-3</c:v>
                </c:pt>
                <c:pt idx="2">
                  <c:v>9.2904691695396176E-3</c:v>
                </c:pt>
                <c:pt idx="3">
                  <c:v>9.12947942104648E-3</c:v>
                </c:pt>
                <c:pt idx="4">
                  <c:v>8.9715996257163366E-3</c:v>
                </c:pt>
                <c:pt idx="5">
                  <c:v>8.8168297835491734E-3</c:v>
                </c:pt>
                <c:pt idx="6">
                  <c:v>8.6651698945450027E-3</c:v>
                </c:pt>
                <c:pt idx="7">
                  <c:v>8.5166199587038138E-3</c:v>
                </c:pt>
                <c:pt idx="8">
                  <c:v>8.371179976025633E-3</c:v>
                </c:pt>
                <c:pt idx="9">
                  <c:v>8.2288499465104463E-3</c:v>
                </c:pt>
                <c:pt idx="10">
                  <c:v>8.0896298701582398E-3</c:v>
                </c:pt>
                <c:pt idx="11">
                  <c:v>7.9535197469690275E-3</c:v>
                </c:pt>
                <c:pt idx="12">
                  <c:v>7.8205195769428075E-3</c:v>
                </c:pt>
                <c:pt idx="13">
                  <c:v>7.6906293600795834E-3</c:v>
                </c:pt>
                <c:pt idx="14">
                  <c:v>7.5638490963793395E-3</c:v>
                </c:pt>
                <c:pt idx="15">
                  <c:v>7.4401787858420967E-3</c:v>
                </c:pt>
                <c:pt idx="16">
                  <c:v>7.319618428467841E-3</c:v>
                </c:pt>
                <c:pt idx="17">
                  <c:v>7.2021680242565717E-3</c:v>
                </c:pt>
                <c:pt idx="18">
                  <c:v>7.0878275732083043E-3</c:v>
                </c:pt>
                <c:pt idx="19">
                  <c:v>6.9765970753230232E-3</c:v>
                </c:pt>
                <c:pt idx="20">
                  <c:v>6.8684765306007301E-3</c:v>
                </c:pt>
                <c:pt idx="21">
                  <c:v>6.7634659390414381E-3</c:v>
                </c:pt>
                <c:pt idx="22">
                  <c:v>6.6615653006451333E-3</c:v>
                </c:pt>
                <c:pt idx="23">
                  <c:v>6.5627746154118148E-3</c:v>
                </c:pt>
                <c:pt idx="24">
                  <c:v>6.4670938833414912E-3</c:v>
                </c:pt>
                <c:pt idx="25">
                  <c:v>6.3745231044341549E-3</c:v>
                </c:pt>
                <c:pt idx="26">
                  <c:v>6.2850622786898187E-3</c:v>
                </c:pt>
                <c:pt idx="27">
                  <c:v>6.1987114061084706E-3</c:v>
                </c:pt>
                <c:pt idx="28">
                  <c:v>6.1154704866901097E-3</c:v>
                </c:pt>
                <c:pt idx="29">
                  <c:v>6.035339520434742E-3</c:v>
                </c:pt>
                <c:pt idx="30">
                  <c:v>5.9583185073423693E-3</c:v>
                </c:pt>
                <c:pt idx="31">
                  <c:v>5.8844074474129838E-3</c:v>
                </c:pt>
                <c:pt idx="32">
                  <c:v>5.8136063406465915E-3</c:v>
                </c:pt>
                <c:pt idx="33">
                  <c:v>5.7459151870431872E-3</c:v>
                </c:pt>
                <c:pt idx="34">
                  <c:v>5.6813339866027771E-3</c:v>
                </c:pt>
                <c:pt idx="35">
                  <c:v>5.6198627393253603E-3</c:v>
                </c:pt>
                <c:pt idx="36">
                  <c:v>5.5615014452109314E-3</c:v>
                </c:pt>
                <c:pt idx="37">
                  <c:v>5.5062501042594959E-3</c:v>
                </c:pt>
                <c:pt idx="38">
                  <c:v>5.4541087164710553E-3</c:v>
                </c:pt>
                <c:pt idx="39">
                  <c:v>5.4050772818456019E-3</c:v>
                </c:pt>
                <c:pt idx="40">
                  <c:v>5.3591558003831356E-3</c:v>
                </c:pt>
                <c:pt idx="41">
                  <c:v>5.3163442720836626E-3</c:v>
                </c:pt>
                <c:pt idx="42">
                  <c:v>5.2766426969471847E-3</c:v>
                </c:pt>
                <c:pt idx="43">
                  <c:v>5.2400510749737008E-3</c:v>
                </c:pt>
                <c:pt idx="44">
                  <c:v>5.2065694061632032E-3</c:v>
                </c:pt>
                <c:pt idx="45">
                  <c:v>5.1761976905157006E-3</c:v>
                </c:pt>
                <c:pt idx="46">
                  <c:v>5.1489359280311852E-3</c:v>
                </c:pt>
                <c:pt idx="47">
                  <c:v>5.1247841187096639E-3</c:v>
                </c:pt>
                <c:pt idx="48">
                  <c:v>5.1037422625511359E-3</c:v>
                </c:pt>
                <c:pt idx="49">
                  <c:v>5.0858103595555959E-3</c:v>
                </c:pt>
                <c:pt idx="50">
                  <c:v>5.0709884097230422E-3</c:v>
                </c:pt>
                <c:pt idx="51">
                  <c:v>5.0592764130534904E-3</c:v>
                </c:pt>
                <c:pt idx="52">
                  <c:v>5.0506743695469258E-3</c:v>
                </c:pt>
                <c:pt idx="53">
                  <c:v>5.0451822792033476E-3</c:v>
                </c:pt>
                <c:pt idx="54">
                  <c:v>5.0428001420227643E-3</c:v>
                </c:pt>
                <c:pt idx="55">
                  <c:v>5.043527958005182E-3</c:v>
                </c:pt>
                <c:pt idx="56">
                  <c:v>5.0473657271505792E-3</c:v>
                </c:pt>
                <c:pt idx="57">
                  <c:v>5.0543134494589713E-3</c:v>
                </c:pt>
                <c:pt idx="58">
                  <c:v>5.0643711249303506E-3</c:v>
                </c:pt>
                <c:pt idx="59">
                  <c:v>5.0775387535647309E-3</c:v>
                </c:pt>
                <c:pt idx="60">
                  <c:v>5.0938163353620915E-3</c:v>
                </c:pt>
                <c:pt idx="61">
                  <c:v>5.1132038703224523E-3</c:v>
                </c:pt>
                <c:pt idx="62">
                  <c:v>5.1357013584457933E-3</c:v>
                </c:pt>
                <c:pt idx="63">
                  <c:v>5.1613087997321432E-3</c:v>
                </c:pt>
                <c:pt idx="64">
                  <c:v>5.1900261941814733E-3</c:v>
                </c:pt>
                <c:pt idx="65">
                  <c:v>5.2218535417937898E-3</c:v>
                </c:pt>
                <c:pt idx="66">
                  <c:v>5.2567908425691081E-3</c:v>
                </c:pt>
                <c:pt idx="67">
                  <c:v>5.2948380965074128E-3</c:v>
                </c:pt>
                <c:pt idx="68">
                  <c:v>5.3359953036087125E-3</c:v>
                </c:pt>
                <c:pt idx="69">
                  <c:v>5.3802624638729993E-3</c:v>
                </c:pt>
                <c:pt idx="70">
                  <c:v>5.4276395773002802E-3</c:v>
                </c:pt>
                <c:pt idx="71">
                  <c:v>5.4781266438905483E-3</c:v>
                </c:pt>
                <c:pt idx="72">
                  <c:v>5.5317236636438106E-3</c:v>
                </c:pt>
                <c:pt idx="73">
                  <c:v>5.5884306365600661E-3</c:v>
                </c:pt>
                <c:pt idx="74">
                  <c:v>5.6482475626393027E-3</c:v>
                </c:pt>
                <c:pt idx="75">
                  <c:v>5.7111744418815464E-3</c:v>
                </c:pt>
                <c:pt idx="76">
                  <c:v>5.7772112742867712E-3</c:v>
                </c:pt>
                <c:pt idx="77">
                  <c:v>5.8463580598549902E-3</c:v>
                </c:pt>
                <c:pt idx="78">
                  <c:v>5.9186147985862024E-3</c:v>
                </c:pt>
                <c:pt idx="79">
                  <c:v>5.9939814904804087E-3</c:v>
                </c:pt>
                <c:pt idx="80">
                  <c:v>6.0724581355375961E-3</c:v>
                </c:pt>
              </c:numCache>
            </c:numRef>
          </c:val>
          <c:extLst>
            <c:ext xmlns:c16="http://schemas.microsoft.com/office/drawing/2014/chart" uri="{C3380CC4-5D6E-409C-BE32-E72D297353CC}">
              <c16:uniqueId val="{0000001D-A84F-4AFF-90AD-1264CB609548}"/>
            </c:ext>
          </c:extLst>
        </c:ser>
        <c:ser>
          <c:idx val="30"/>
          <c:order val="30"/>
          <c:tx>
            <c:strRef>
              <c:f>Interpolation!$S$33</c:f>
              <c:strCache>
                <c:ptCount val="1"/>
                <c:pt idx="0">
                  <c:v>33</c:v>
                </c:pt>
              </c:strCache>
            </c:strRef>
          </c:tx>
          <c:spPr>
            <a:solidFill>
              <a:schemeClr val="accent1">
                <a:lumMod val="5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Interpolation!$T$33:$CV$33</c:f>
              <c:numCache>
                <c:formatCode>General</c:formatCode>
                <c:ptCount val="81"/>
                <c:pt idx="0">
                  <c:v>9.6046189684521992E-3</c:v>
                </c:pt>
                <c:pt idx="1">
                  <c:v>9.4373140830503396E-3</c:v>
                </c:pt>
                <c:pt idx="2">
                  <c:v>9.2731191508114742E-3</c:v>
                </c:pt>
                <c:pt idx="3">
                  <c:v>9.1120341717356029E-3</c:v>
                </c:pt>
                <c:pt idx="4">
                  <c:v>8.9540591458227257E-3</c:v>
                </c:pt>
                <c:pt idx="5">
                  <c:v>8.7991940730728288E-3</c:v>
                </c:pt>
                <c:pt idx="6">
                  <c:v>8.647438953485926E-3</c:v>
                </c:pt>
                <c:pt idx="7">
                  <c:v>8.4987937870620034E-3</c:v>
                </c:pt>
                <c:pt idx="8">
                  <c:v>8.3532585738010905E-3</c:v>
                </c:pt>
                <c:pt idx="9">
                  <c:v>8.2108333137031701E-3</c:v>
                </c:pt>
                <c:pt idx="10">
                  <c:v>8.0715180067682298E-3</c:v>
                </c:pt>
                <c:pt idx="11">
                  <c:v>7.9353126529962837E-3</c:v>
                </c:pt>
                <c:pt idx="12">
                  <c:v>7.8022172523873326E-3</c:v>
                </c:pt>
                <c:pt idx="13">
                  <c:v>7.6722318049413747E-3</c:v>
                </c:pt>
                <c:pt idx="14">
                  <c:v>7.545356310658397E-3</c:v>
                </c:pt>
                <c:pt idx="15">
                  <c:v>7.4215907695384213E-3</c:v>
                </c:pt>
                <c:pt idx="16">
                  <c:v>7.3009351815814319E-3</c:v>
                </c:pt>
                <c:pt idx="17">
                  <c:v>7.1833895467874297E-3</c:v>
                </c:pt>
                <c:pt idx="18">
                  <c:v>7.0689538651564285E-3</c:v>
                </c:pt>
                <c:pt idx="19">
                  <c:v>6.9576281366884154E-3</c:v>
                </c:pt>
                <c:pt idx="20">
                  <c:v>6.8494123613833885E-3</c:v>
                </c:pt>
                <c:pt idx="21">
                  <c:v>6.7443065392413628E-3</c:v>
                </c:pt>
                <c:pt idx="22">
                  <c:v>6.642310670262325E-3</c:v>
                </c:pt>
                <c:pt idx="23">
                  <c:v>6.5434247544462736E-3</c:v>
                </c:pt>
                <c:pt idx="24">
                  <c:v>6.4476487917932163E-3</c:v>
                </c:pt>
                <c:pt idx="25">
                  <c:v>6.3549827823031471E-3</c:v>
                </c:pt>
                <c:pt idx="26">
                  <c:v>6.265426725976078E-3</c:v>
                </c:pt>
                <c:pt idx="27">
                  <c:v>6.1789806228119961E-3</c:v>
                </c:pt>
                <c:pt idx="28">
                  <c:v>6.0956444728109014E-3</c:v>
                </c:pt>
                <c:pt idx="29">
                  <c:v>6.0154182759728017E-3</c:v>
                </c:pt>
                <c:pt idx="30">
                  <c:v>5.9383020322976952E-3</c:v>
                </c:pt>
                <c:pt idx="31">
                  <c:v>5.8642957417855759E-3</c:v>
                </c:pt>
                <c:pt idx="32">
                  <c:v>5.7933994044364516E-3</c:v>
                </c:pt>
                <c:pt idx="33">
                  <c:v>5.7256130202503136E-3</c:v>
                </c:pt>
                <c:pt idx="34">
                  <c:v>5.6609365892271698E-3</c:v>
                </c:pt>
                <c:pt idx="35">
                  <c:v>5.5993701113670209E-3</c:v>
                </c:pt>
                <c:pt idx="36">
                  <c:v>5.5409135866698583E-3</c:v>
                </c:pt>
                <c:pt idx="37">
                  <c:v>5.4855670151356898E-3</c:v>
                </c:pt>
                <c:pt idx="38">
                  <c:v>5.4333303967645154E-3</c:v>
                </c:pt>
                <c:pt idx="39">
                  <c:v>5.3842037315563291E-3</c:v>
                </c:pt>
                <c:pt idx="40">
                  <c:v>5.3381870195111291E-3</c:v>
                </c:pt>
                <c:pt idx="41">
                  <c:v>5.2952802606289241E-3</c:v>
                </c:pt>
                <c:pt idx="42">
                  <c:v>5.2554834549097124E-3</c:v>
                </c:pt>
                <c:pt idx="43">
                  <c:v>5.2187966023534947E-3</c:v>
                </c:pt>
                <c:pt idx="44">
                  <c:v>5.1852197029602642E-3</c:v>
                </c:pt>
                <c:pt idx="45">
                  <c:v>5.1547527567300279E-3</c:v>
                </c:pt>
                <c:pt idx="46">
                  <c:v>5.1273957636627796E-3</c:v>
                </c:pt>
                <c:pt idx="47">
                  <c:v>5.1031487237585245E-3</c:v>
                </c:pt>
                <c:pt idx="48">
                  <c:v>5.0820116370172645E-3</c:v>
                </c:pt>
                <c:pt idx="49">
                  <c:v>5.0639845034389907E-3</c:v>
                </c:pt>
                <c:pt idx="50">
                  <c:v>5.0490673230237041E-3</c:v>
                </c:pt>
                <c:pt idx="51">
                  <c:v>5.0372600957714186E-3</c:v>
                </c:pt>
                <c:pt idx="52">
                  <c:v>5.0285628216821211E-3</c:v>
                </c:pt>
                <c:pt idx="53">
                  <c:v>5.0229755007558099E-3</c:v>
                </c:pt>
                <c:pt idx="54">
                  <c:v>5.0204981329924929E-3</c:v>
                </c:pt>
                <c:pt idx="55">
                  <c:v>5.0211307183921777E-3</c:v>
                </c:pt>
                <c:pt idx="56">
                  <c:v>5.024873256954842E-3</c:v>
                </c:pt>
                <c:pt idx="57">
                  <c:v>5.0317257486805003E-3</c:v>
                </c:pt>
                <c:pt idx="58">
                  <c:v>5.0416881935691459E-3</c:v>
                </c:pt>
                <c:pt idx="59">
                  <c:v>5.0547605916207933E-3</c:v>
                </c:pt>
                <c:pt idx="60">
                  <c:v>5.070942942835421E-3</c:v>
                </c:pt>
                <c:pt idx="61">
                  <c:v>5.0902352472130489E-3</c:v>
                </c:pt>
                <c:pt idx="62">
                  <c:v>5.112637504753657E-3</c:v>
                </c:pt>
                <c:pt idx="63">
                  <c:v>5.1381497154572731E-3</c:v>
                </c:pt>
                <c:pt idx="64">
                  <c:v>5.1667718793238695E-3</c:v>
                </c:pt>
                <c:pt idx="65">
                  <c:v>5.198503996353453E-3</c:v>
                </c:pt>
                <c:pt idx="66">
                  <c:v>5.2333460665460376E-3</c:v>
                </c:pt>
                <c:pt idx="67">
                  <c:v>5.2712980899016102E-3</c:v>
                </c:pt>
                <c:pt idx="68">
                  <c:v>5.312360066420177E-3</c:v>
                </c:pt>
                <c:pt idx="69">
                  <c:v>5.3565319961017301E-3</c:v>
                </c:pt>
                <c:pt idx="70">
                  <c:v>5.4038138789462772E-3</c:v>
                </c:pt>
                <c:pt idx="71">
                  <c:v>5.4542057149538116E-3</c:v>
                </c:pt>
                <c:pt idx="72">
                  <c:v>5.5077075041243409E-3</c:v>
                </c:pt>
                <c:pt idx="73">
                  <c:v>5.5643192464578644E-3</c:v>
                </c:pt>
                <c:pt idx="74">
                  <c:v>5.6240409419543672E-3</c:v>
                </c:pt>
                <c:pt idx="75">
                  <c:v>5.6868725906138781E-3</c:v>
                </c:pt>
                <c:pt idx="76">
                  <c:v>5.7528141924363691E-3</c:v>
                </c:pt>
                <c:pt idx="77">
                  <c:v>5.8218657474218543E-3</c:v>
                </c:pt>
                <c:pt idx="78">
                  <c:v>5.8940272555703336E-3</c:v>
                </c:pt>
                <c:pt idx="79">
                  <c:v>5.9692987168818079E-3</c:v>
                </c:pt>
                <c:pt idx="80">
                  <c:v>6.0476801313562615E-3</c:v>
                </c:pt>
              </c:numCache>
            </c:numRef>
          </c:val>
          <c:extLst>
            <c:ext xmlns:c16="http://schemas.microsoft.com/office/drawing/2014/chart" uri="{C3380CC4-5D6E-409C-BE32-E72D297353CC}">
              <c16:uniqueId val="{0000001E-A84F-4AFF-90AD-1264CB609548}"/>
            </c:ext>
          </c:extLst>
        </c:ser>
        <c:ser>
          <c:idx val="31"/>
          <c:order val="31"/>
          <c:tx>
            <c:strRef>
              <c:f>Interpolation!$S$34</c:f>
              <c:strCache>
                <c:ptCount val="1"/>
                <c:pt idx="0">
                  <c:v>33.1</c:v>
                </c:pt>
              </c:strCache>
            </c:strRef>
          </c:tx>
          <c:spPr>
            <a:solidFill>
              <a:schemeClr val="accent2">
                <a:lumMod val="5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Interpolation!$T$34:$CV$34</c:f>
              <c:numCache>
                <c:formatCode>General</c:formatCode>
                <c:ptCount val="81"/>
                <c:pt idx="0">
                  <c:v>9.5883598646163328E-3</c:v>
                </c:pt>
                <c:pt idx="1">
                  <c:v>9.4209597486317395E-3</c:v>
                </c:pt>
                <c:pt idx="2">
                  <c:v>9.2566695858101421E-3</c:v>
                </c:pt>
                <c:pt idx="3">
                  <c:v>9.095489376151537E-3</c:v>
                </c:pt>
                <c:pt idx="4">
                  <c:v>8.9374191196559261E-3</c:v>
                </c:pt>
                <c:pt idx="5">
                  <c:v>8.7824588163232971E-3</c:v>
                </c:pt>
                <c:pt idx="6">
                  <c:v>8.6306084661536605E-3</c:v>
                </c:pt>
                <c:pt idx="7">
                  <c:v>8.4818680691470059E-3</c:v>
                </c:pt>
                <c:pt idx="8">
                  <c:v>8.3362376253033575E-3</c:v>
                </c:pt>
                <c:pt idx="9">
                  <c:v>8.193717134622705E-3</c:v>
                </c:pt>
                <c:pt idx="10">
                  <c:v>8.054306597105031E-3</c:v>
                </c:pt>
                <c:pt idx="11">
                  <c:v>7.9180060127503529E-3</c:v>
                </c:pt>
                <c:pt idx="12">
                  <c:v>7.7848153815586671E-3</c:v>
                </c:pt>
                <c:pt idx="13">
                  <c:v>7.6547347035299763E-3</c:v>
                </c:pt>
                <c:pt idx="14">
                  <c:v>7.5277639786642658E-3</c:v>
                </c:pt>
                <c:pt idx="15">
                  <c:v>7.4039032069615563E-3</c:v>
                </c:pt>
                <c:pt idx="16">
                  <c:v>7.283152388421834E-3</c:v>
                </c:pt>
                <c:pt idx="17">
                  <c:v>7.1655115230450988E-3</c:v>
                </c:pt>
                <c:pt idx="18">
                  <c:v>7.0509806108313648E-3</c:v>
                </c:pt>
                <c:pt idx="19">
                  <c:v>6.9395596517806179E-3</c:v>
                </c:pt>
                <c:pt idx="20">
                  <c:v>6.8312486458928581E-3</c:v>
                </c:pt>
                <c:pt idx="21">
                  <c:v>6.7260475931680995E-3</c:v>
                </c:pt>
                <c:pt idx="22">
                  <c:v>6.623956493606328E-3</c:v>
                </c:pt>
                <c:pt idx="23">
                  <c:v>6.5249753472075428E-3</c:v>
                </c:pt>
                <c:pt idx="24">
                  <c:v>6.4291041539717535E-3</c:v>
                </c:pt>
                <c:pt idx="25">
                  <c:v>6.3363429138989505E-3</c:v>
                </c:pt>
                <c:pt idx="26">
                  <c:v>6.2466916269891485E-3</c:v>
                </c:pt>
                <c:pt idx="27">
                  <c:v>6.1601502932423328E-3</c:v>
                </c:pt>
                <c:pt idx="28">
                  <c:v>6.0767189126585052E-3</c:v>
                </c:pt>
                <c:pt idx="29">
                  <c:v>5.9963974852376718E-3</c:v>
                </c:pt>
                <c:pt idx="30">
                  <c:v>5.9191860109798324E-3</c:v>
                </c:pt>
                <c:pt idx="31">
                  <c:v>5.8450844898849802E-3</c:v>
                </c:pt>
                <c:pt idx="32">
                  <c:v>5.7740929219531221E-3</c:v>
                </c:pt>
                <c:pt idx="33">
                  <c:v>5.7062113071842512E-3</c:v>
                </c:pt>
                <c:pt idx="34">
                  <c:v>5.6414396455783744E-3</c:v>
                </c:pt>
                <c:pt idx="35">
                  <c:v>5.5797779371354918E-3</c:v>
                </c:pt>
                <c:pt idx="36">
                  <c:v>5.5212261818555963E-3</c:v>
                </c:pt>
                <c:pt idx="37">
                  <c:v>5.4657843797386949E-3</c:v>
                </c:pt>
                <c:pt idx="38">
                  <c:v>5.4134525307847877E-3</c:v>
                </c:pt>
                <c:pt idx="39">
                  <c:v>5.3642306349938676E-3</c:v>
                </c:pt>
                <c:pt idx="40">
                  <c:v>5.3181186923659338E-3</c:v>
                </c:pt>
                <c:pt idx="41">
                  <c:v>5.2751167029009959E-3</c:v>
                </c:pt>
                <c:pt idx="42">
                  <c:v>5.2352246665990504E-3</c:v>
                </c:pt>
                <c:pt idx="43">
                  <c:v>5.1984425834601007E-3</c:v>
                </c:pt>
                <c:pt idx="44">
                  <c:v>5.1647704534841365E-3</c:v>
                </c:pt>
                <c:pt idx="45">
                  <c:v>5.1342082766711672E-3</c:v>
                </c:pt>
                <c:pt idx="46">
                  <c:v>5.1067560530211852E-3</c:v>
                </c:pt>
                <c:pt idx="47">
                  <c:v>5.0824137825341972E-3</c:v>
                </c:pt>
                <c:pt idx="48">
                  <c:v>5.0611814652102034E-3</c:v>
                </c:pt>
                <c:pt idx="49">
                  <c:v>5.0430591010491967E-3</c:v>
                </c:pt>
                <c:pt idx="50">
                  <c:v>5.0280466900511772E-3</c:v>
                </c:pt>
                <c:pt idx="51">
                  <c:v>5.0161442322161588E-3</c:v>
                </c:pt>
                <c:pt idx="52">
                  <c:v>5.0073517275441275E-3</c:v>
                </c:pt>
                <c:pt idx="53">
                  <c:v>5.0016691760350826E-3</c:v>
                </c:pt>
                <c:pt idx="54">
                  <c:v>4.9990965776890335E-3</c:v>
                </c:pt>
                <c:pt idx="55">
                  <c:v>4.9996339325059837E-3</c:v>
                </c:pt>
                <c:pt idx="56">
                  <c:v>5.0032812404859151E-3</c:v>
                </c:pt>
                <c:pt idx="57">
                  <c:v>5.0100385016288405E-3</c:v>
                </c:pt>
                <c:pt idx="58">
                  <c:v>5.0199057159347532E-3</c:v>
                </c:pt>
                <c:pt idx="59">
                  <c:v>5.0328828834036669E-3</c:v>
                </c:pt>
                <c:pt idx="60">
                  <c:v>5.0489700040355617E-3</c:v>
                </c:pt>
                <c:pt idx="61">
                  <c:v>5.0681670778304558E-3</c:v>
                </c:pt>
                <c:pt idx="62">
                  <c:v>5.0904741047883319E-3</c:v>
                </c:pt>
                <c:pt idx="63">
                  <c:v>5.1158910849092142E-3</c:v>
                </c:pt>
                <c:pt idx="64">
                  <c:v>5.1444180181930777E-3</c:v>
                </c:pt>
                <c:pt idx="65">
                  <c:v>5.1760549046399283E-3</c:v>
                </c:pt>
                <c:pt idx="66">
                  <c:v>5.2108017442497791E-3</c:v>
                </c:pt>
                <c:pt idx="67">
                  <c:v>5.2486585370226189E-3</c:v>
                </c:pt>
                <c:pt idx="68">
                  <c:v>5.289625282958451E-3</c:v>
                </c:pt>
                <c:pt idx="69">
                  <c:v>5.333701982057272E-3</c:v>
                </c:pt>
                <c:pt idx="70">
                  <c:v>5.3808886343190854E-3</c:v>
                </c:pt>
                <c:pt idx="71">
                  <c:v>5.4311852397438878E-3</c:v>
                </c:pt>
                <c:pt idx="72">
                  <c:v>5.4845917983316825E-3</c:v>
                </c:pt>
                <c:pt idx="73">
                  <c:v>5.541108310082473E-3</c:v>
                </c:pt>
                <c:pt idx="74">
                  <c:v>5.6007347749962421E-3</c:v>
                </c:pt>
                <c:pt idx="75">
                  <c:v>5.66347119307302E-3</c:v>
                </c:pt>
                <c:pt idx="76">
                  <c:v>5.7293175643127782E-3</c:v>
                </c:pt>
                <c:pt idx="77">
                  <c:v>5.7982738887155305E-3</c:v>
                </c:pt>
                <c:pt idx="78">
                  <c:v>5.8703401662812769E-3</c:v>
                </c:pt>
                <c:pt idx="79">
                  <c:v>5.9455163970100174E-3</c:v>
                </c:pt>
                <c:pt idx="80">
                  <c:v>6.0238025809017381E-3</c:v>
                </c:pt>
              </c:numCache>
            </c:numRef>
          </c:val>
          <c:extLst>
            <c:ext xmlns:c16="http://schemas.microsoft.com/office/drawing/2014/chart" uri="{C3380CC4-5D6E-409C-BE32-E72D297353CC}">
              <c16:uniqueId val="{0000001F-A84F-4AFF-90AD-1264CB609548}"/>
            </c:ext>
          </c:extLst>
        </c:ser>
        <c:ser>
          <c:idx val="32"/>
          <c:order val="32"/>
          <c:tx>
            <c:strRef>
              <c:f>Interpolation!$S$35</c:f>
              <c:strCache>
                <c:ptCount val="1"/>
                <c:pt idx="0">
                  <c:v>33.2</c:v>
                </c:pt>
              </c:strCache>
            </c:strRef>
          </c:tx>
          <c:spPr>
            <a:solidFill>
              <a:schemeClr val="accent3">
                <a:lumMod val="5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Interpolation!$T$35:$CV$35</c:f>
              <c:numCache>
                <c:formatCode>General</c:formatCode>
                <c:ptCount val="81"/>
                <c:pt idx="0">
                  <c:v>9.5730012145072828E-3</c:v>
                </c:pt>
                <c:pt idx="1">
                  <c:v>9.4055058679399575E-3</c:v>
                </c:pt>
                <c:pt idx="2">
                  <c:v>9.2411204745356263E-3</c:v>
                </c:pt>
                <c:pt idx="3">
                  <c:v>9.0798450342942875E-3</c:v>
                </c:pt>
                <c:pt idx="4">
                  <c:v>8.9216795472159445E-3</c:v>
                </c:pt>
                <c:pt idx="5">
                  <c:v>8.7666240133005818E-3</c:v>
                </c:pt>
                <c:pt idx="6">
                  <c:v>8.6146784325482131E-3</c:v>
                </c:pt>
                <c:pt idx="7">
                  <c:v>8.465842804958823E-3</c:v>
                </c:pt>
                <c:pt idx="8">
                  <c:v>8.3201171305324426E-3</c:v>
                </c:pt>
                <c:pt idx="9">
                  <c:v>8.1775014092690564E-3</c:v>
                </c:pt>
                <c:pt idx="10">
                  <c:v>8.0379956411686486E-3</c:v>
                </c:pt>
                <c:pt idx="11">
                  <c:v>7.9015998262312367E-3</c:v>
                </c:pt>
                <c:pt idx="12">
                  <c:v>7.7683139644568189E-3</c:v>
                </c:pt>
                <c:pt idx="13">
                  <c:v>7.6381380558453943E-3</c:v>
                </c:pt>
                <c:pt idx="14">
                  <c:v>7.5110721003969509E-3</c:v>
                </c:pt>
                <c:pt idx="15">
                  <c:v>7.3871160981115076E-3</c:v>
                </c:pt>
                <c:pt idx="16">
                  <c:v>7.2662700489890524E-3</c:v>
                </c:pt>
                <c:pt idx="17">
                  <c:v>7.1485339530295835E-3</c:v>
                </c:pt>
                <c:pt idx="18">
                  <c:v>7.0339078102331165E-3</c:v>
                </c:pt>
                <c:pt idx="19">
                  <c:v>6.9223916205996359E-3</c:v>
                </c:pt>
                <c:pt idx="20">
                  <c:v>6.8139853841291433E-3</c:v>
                </c:pt>
                <c:pt idx="21">
                  <c:v>6.7086891008216508E-3</c:v>
                </c:pt>
                <c:pt idx="22">
                  <c:v>6.6065027706771456E-3</c:v>
                </c:pt>
                <c:pt idx="23">
                  <c:v>6.5074263936956284E-3</c:v>
                </c:pt>
                <c:pt idx="24">
                  <c:v>6.4114599698771044E-3</c:v>
                </c:pt>
                <c:pt idx="25">
                  <c:v>6.3186034992215685E-3</c:v>
                </c:pt>
                <c:pt idx="26">
                  <c:v>6.2288569817290328E-3</c:v>
                </c:pt>
                <c:pt idx="27">
                  <c:v>6.1422204173994851E-3</c:v>
                </c:pt>
                <c:pt idx="28">
                  <c:v>6.0586938062329237E-3</c:v>
                </c:pt>
                <c:pt idx="29">
                  <c:v>5.9782771482293565E-3</c:v>
                </c:pt>
                <c:pt idx="30">
                  <c:v>5.9009704433887842E-3</c:v>
                </c:pt>
                <c:pt idx="31">
                  <c:v>5.8267736917111991E-3</c:v>
                </c:pt>
                <c:pt idx="32">
                  <c:v>5.7556868931966073E-3</c:v>
                </c:pt>
                <c:pt idx="33">
                  <c:v>5.6877100478450026E-3</c:v>
                </c:pt>
                <c:pt idx="34">
                  <c:v>5.6228431556563929E-3</c:v>
                </c:pt>
                <c:pt idx="35">
                  <c:v>5.5610862166307765E-3</c:v>
                </c:pt>
                <c:pt idx="36">
                  <c:v>5.5024392307681481E-3</c:v>
                </c:pt>
                <c:pt idx="37">
                  <c:v>5.446902198068513E-3</c:v>
                </c:pt>
                <c:pt idx="38">
                  <c:v>5.3944751185318728E-3</c:v>
                </c:pt>
                <c:pt idx="39">
                  <c:v>5.345157992158219E-3</c:v>
                </c:pt>
                <c:pt idx="40">
                  <c:v>5.2989508189475523E-3</c:v>
                </c:pt>
                <c:pt idx="41">
                  <c:v>5.2558535988998806E-3</c:v>
                </c:pt>
                <c:pt idx="42">
                  <c:v>5.2158663320152031E-3</c:v>
                </c:pt>
                <c:pt idx="43">
                  <c:v>5.1789890182935188E-3</c:v>
                </c:pt>
                <c:pt idx="44">
                  <c:v>5.1452216577348216E-3</c:v>
                </c:pt>
                <c:pt idx="45">
                  <c:v>5.1145642503391195E-3</c:v>
                </c:pt>
                <c:pt idx="46">
                  <c:v>5.0870167961064037E-3</c:v>
                </c:pt>
                <c:pt idx="47">
                  <c:v>5.0625792950366828E-3</c:v>
                </c:pt>
                <c:pt idx="48">
                  <c:v>5.0412517471299552E-3</c:v>
                </c:pt>
                <c:pt idx="49">
                  <c:v>5.0230341523862156E-3</c:v>
                </c:pt>
                <c:pt idx="50">
                  <c:v>5.0079265108054624E-3</c:v>
                </c:pt>
                <c:pt idx="51">
                  <c:v>4.9959288223877111E-3</c:v>
                </c:pt>
                <c:pt idx="52">
                  <c:v>4.987041087132946E-3</c:v>
                </c:pt>
                <c:pt idx="53">
                  <c:v>4.9812633050411691E-3</c:v>
                </c:pt>
                <c:pt idx="54">
                  <c:v>4.9785954761123853E-3</c:v>
                </c:pt>
                <c:pt idx="55">
                  <c:v>4.9790376003466027E-3</c:v>
                </c:pt>
                <c:pt idx="56">
                  <c:v>4.9825896777438011E-3</c:v>
                </c:pt>
                <c:pt idx="57">
                  <c:v>4.9892517083039928E-3</c:v>
                </c:pt>
                <c:pt idx="58">
                  <c:v>4.9990236920271717E-3</c:v>
                </c:pt>
                <c:pt idx="59">
                  <c:v>5.0119056289133525E-3</c:v>
                </c:pt>
                <c:pt idx="60">
                  <c:v>5.0278975189625135E-3</c:v>
                </c:pt>
                <c:pt idx="61">
                  <c:v>5.0469993621746756E-3</c:v>
                </c:pt>
                <c:pt idx="62">
                  <c:v>5.0692111585498171E-3</c:v>
                </c:pt>
                <c:pt idx="63">
                  <c:v>5.0945329080879665E-3</c:v>
                </c:pt>
                <c:pt idx="64">
                  <c:v>5.1229646107890971E-3</c:v>
                </c:pt>
                <c:pt idx="65">
                  <c:v>5.1545062666532131E-3</c:v>
                </c:pt>
                <c:pt idx="66">
                  <c:v>5.1891578756803319E-3</c:v>
                </c:pt>
                <c:pt idx="67">
                  <c:v>5.2269194378704378E-3</c:v>
                </c:pt>
                <c:pt idx="68">
                  <c:v>5.2677909532235371E-3</c:v>
                </c:pt>
                <c:pt idx="69">
                  <c:v>5.3117724217396235E-3</c:v>
                </c:pt>
                <c:pt idx="70">
                  <c:v>5.3588638434187048E-3</c:v>
                </c:pt>
                <c:pt idx="71">
                  <c:v>5.4090652182607734E-3</c:v>
                </c:pt>
                <c:pt idx="72">
                  <c:v>5.4623765462658361E-3</c:v>
                </c:pt>
                <c:pt idx="73">
                  <c:v>5.518797827433892E-3</c:v>
                </c:pt>
                <c:pt idx="74">
                  <c:v>5.5783290617649282E-3</c:v>
                </c:pt>
                <c:pt idx="75">
                  <c:v>5.6409702492589732E-3</c:v>
                </c:pt>
                <c:pt idx="76">
                  <c:v>5.7067213899159976E-3</c:v>
                </c:pt>
                <c:pt idx="77">
                  <c:v>5.7755824837360161E-3</c:v>
                </c:pt>
                <c:pt idx="78">
                  <c:v>5.8475535307190296E-3</c:v>
                </c:pt>
                <c:pt idx="79">
                  <c:v>5.9226345308650364E-3</c:v>
                </c:pt>
                <c:pt idx="80">
                  <c:v>6.0008254841740234E-3</c:v>
                </c:pt>
              </c:numCache>
            </c:numRef>
          </c:val>
          <c:extLst>
            <c:ext xmlns:c16="http://schemas.microsoft.com/office/drawing/2014/chart" uri="{C3380CC4-5D6E-409C-BE32-E72D297353CC}">
              <c16:uniqueId val="{00000020-A84F-4AFF-90AD-1264CB609548}"/>
            </c:ext>
          </c:extLst>
        </c:ser>
        <c:ser>
          <c:idx val="33"/>
          <c:order val="33"/>
          <c:tx>
            <c:strRef>
              <c:f>Interpolation!$S$36</c:f>
              <c:strCache>
                <c:ptCount val="1"/>
                <c:pt idx="0">
                  <c:v>33.3</c:v>
                </c:pt>
              </c:strCache>
            </c:strRef>
          </c:tx>
          <c:spPr>
            <a:solidFill>
              <a:schemeClr val="accent4">
                <a:lumMod val="5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Interpolation!$T$36:$CV$36</c:f>
              <c:numCache>
                <c:formatCode>General</c:formatCode>
                <c:ptCount val="81"/>
                <c:pt idx="0">
                  <c:v>9.5585430181250684E-3</c:v>
                </c:pt>
                <c:pt idx="1">
                  <c:v>9.3909524409750093E-3</c:v>
                </c:pt>
                <c:pt idx="2">
                  <c:v>9.2264718169879443E-3</c:v>
                </c:pt>
                <c:pt idx="3">
                  <c:v>9.0651011461638734E-3</c:v>
                </c:pt>
                <c:pt idx="4">
                  <c:v>8.9068404285027967E-3</c:v>
                </c:pt>
                <c:pt idx="5">
                  <c:v>8.7516896640047019E-3</c:v>
                </c:pt>
                <c:pt idx="6">
                  <c:v>8.5996488526695995E-3</c:v>
                </c:pt>
                <c:pt idx="7">
                  <c:v>8.4507179944974774E-3</c:v>
                </c:pt>
                <c:pt idx="8">
                  <c:v>8.3048970894883632E-3</c:v>
                </c:pt>
                <c:pt idx="9">
                  <c:v>8.1621861376422432E-3</c:v>
                </c:pt>
                <c:pt idx="10">
                  <c:v>8.0225851389591034E-3</c:v>
                </c:pt>
                <c:pt idx="11">
                  <c:v>7.8860940934389577E-3</c:v>
                </c:pt>
                <c:pt idx="12">
                  <c:v>7.7527130010818061E-3</c:v>
                </c:pt>
                <c:pt idx="13">
                  <c:v>7.6224418618876487E-3</c:v>
                </c:pt>
                <c:pt idx="14">
                  <c:v>7.4952806758564723E-3</c:v>
                </c:pt>
                <c:pt idx="15">
                  <c:v>7.3712294429882962E-3</c:v>
                </c:pt>
                <c:pt idx="16">
                  <c:v>7.2502881632831072E-3</c:v>
                </c:pt>
                <c:pt idx="17">
                  <c:v>7.1324568367409054E-3</c:v>
                </c:pt>
                <c:pt idx="18">
                  <c:v>7.0177354633617055E-3</c:v>
                </c:pt>
                <c:pt idx="19">
                  <c:v>6.906124043145492E-3</c:v>
                </c:pt>
                <c:pt idx="20">
                  <c:v>6.7976225760922656E-3</c:v>
                </c:pt>
                <c:pt idx="21">
                  <c:v>6.6922310622020403E-3</c:v>
                </c:pt>
                <c:pt idx="22">
                  <c:v>6.5899495014748021E-3</c:v>
                </c:pt>
                <c:pt idx="23">
                  <c:v>6.4907778939105511E-3</c:v>
                </c:pt>
                <c:pt idx="24">
                  <c:v>6.3947162395092943E-3</c:v>
                </c:pt>
                <c:pt idx="25">
                  <c:v>6.3017645382710255E-3</c:v>
                </c:pt>
                <c:pt idx="26">
                  <c:v>6.2119227901957568E-3</c:v>
                </c:pt>
                <c:pt idx="27">
                  <c:v>6.1251909952834763E-3</c:v>
                </c:pt>
                <c:pt idx="28">
                  <c:v>6.041569153534182E-3</c:v>
                </c:pt>
                <c:pt idx="29">
                  <c:v>5.9610572649478819E-3</c:v>
                </c:pt>
                <c:pt idx="30">
                  <c:v>5.8836553295245758E-3</c:v>
                </c:pt>
                <c:pt idx="31">
                  <c:v>5.809363347264257E-3</c:v>
                </c:pt>
                <c:pt idx="32">
                  <c:v>5.7381813181669322E-3</c:v>
                </c:pt>
                <c:pt idx="33">
                  <c:v>5.6701092422325947E-3</c:v>
                </c:pt>
                <c:pt idx="34">
                  <c:v>5.6051471194612521E-3</c:v>
                </c:pt>
                <c:pt idx="35">
                  <c:v>5.5432949498529028E-3</c:v>
                </c:pt>
                <c:pt idx="36">
                  <c:v>5.4845527334075406E-3</c:v>
                </c:pt>
                <c:pt idx="37">
                  <c:v>5.4289204701251726E-3</c:v>
                </c:pt>
                <c:pt idx="38">
                  <c:v>5.3763981600057995E-3</c:v>
                </c:pt>
                <c:pt idx="39">
                  <c:v>5.3269858030494128E-3</c:v>
                </c:pt>
                <c:pt idx="40">
                  <c:v>5.2806833992560132E-3</c:v>
                </c:pt>
                <c:pt idx="41">
                  <c:v>5.2374909486256078E-3</c:v>
                </c:pt>
                <c:pt idx="42">
                  <c:v>5.1974084511581965E-3</c:v>
                </c:pt>
                <c:pt idx="43">
                  <c:v>5.1604359068537792E-3</c:v>
                </c:pt>
                <c:pt idx="44">
                  <c:v>5.1265733157123492E-3</c:v>
                </c:pt>
                <c:pt idx="45">
                  <c:v>5.0958206777339142E-3</c:v>
                </c:pt>
                <c:pt idx="46">
                  <c:v>5.0681779929184654E-3</c:v>
                </c:pt>
                <c:pt idx="47">
                  <c:v>5.0436452612660117E-3</c:v>
                </c:pt>
                <c:pt idx="48">
                  <c:v>5.0222224827765512E-3</c:v>
                </c:pt>
                <c:pt idx="49">
                  <c:v>5.0039096574500778E-3</c:v>
                </c:pt>
                <c:pt idx="50">
                  <c:v>4.9887067852865917E-3</c:v>
                </c:pt>
                <c:pt idx="51">
                  <c:v>4.9766138662861066E-3</c:v>
                </c:pt>
                <c:pt idx="52">
                  <c:v>4.9676309004486087E-3</c:v>
                </c:pt>
                <c:pt idx="53">
                  <c:v>4.961757887774098E-3</c:v>
                </c:pt>
                <c:pt idx="54">
                  <c:v>4.9589948282625813E-3</c:v>
                </c:pt>
                <c:pt idx="55">
                  <c:v>4.9593417219140666E-3</c:v>
                </c:pt>
                <c:pt idx="56">
                  <c:v>4.9627985687285313E-3</c:v>
                </c:pt>
                <c:pt idx="57">
                  <c:v>4.9693653687059901E-3</c:v>
                </c:pt>
                <c:pt idx="58">
                  <c:v>4.9790421218464361E-3</c:v>
                </c:pt>
                <c:pt idx="59">
                  <c:v>4.991828828149884E-3</c:v>
                </c:pt>
                <c:pt idx="60">
                  <c:v>5.0077254876163112E-3</c:v>
                </c:pt>
                <c:pt idx="61">
                  <c:v>5.0267321002457396E-3</c:v>
                </c:pt>
                <c:pt idx="62">
                  <c:v>5.0488486660381481E-3</c:v>
                </c:pt>
                <c:pt idx="63">
                  <c:v>5.0740751849935655E-3</c:v>
                </c:pt>
                <c:pt idx="64">
                  <c:v>5.1024116571119623E-3</c:v>
                </c:pt>
                <c:pt idx="65">
                  <c:v>5.1338580823933454E-3</c:v>
                </c:pt>
                <c:pt idx="66">
                  <c:v>5.1684144608377313E-3</c:v>
                </c:pt>
                <c:pt idx="67">
                  <c:v>5.2060807924451035E-3</c:v>
                </c:pt>
                <c:pt idx="68">
                  <c:v>5.2468570772154707E-3</c:v>
                </c:pt>
                <c:pt idx="69">
                  <c:v>5.2907433151488242E-3</c:v>
                </c:pt>
                <c:pt idx="70">
                  <c:v>5.3377395062451718E-3</c:v>
                </c:pt>
                <c:pt idx="71">
                  <c:v>5.3878456505045066E-3</c:v>
                </c:pt>
                <c:pt idx="72">
                  <c:v>5.4410617479268356E-3</c:v>
                </c:pt>
                <c:pt idx="73">
                  <c:v>5.4973877985121595E-3</c:v>
                </c:pt>
                <c:pt idx="74">
                  <c:v>5.5568238022604627E-3</c:v>
                </c:pt>
                <c:pt idx="75">
                  <c:v>5.619369759171774E-3</c:v>
                </c:pt>
                <c:pt idx="76">
                  <c:v>5.6850256692460655E-3</c:v>
                </c:pt>
                <c:pt idx="77">
                  <c:v>5.7537915324833511E-3</c:v>
                </c:pt>
                <c:pt idx="78">
                  <c:v>5.8256673488836317E-3</c:v>
                </c:pt>
                <c:pt idx="79">
                  <c:v>5.9006531184469056E-3</c:v>
                </c:pt>
                <c:pt idx="80">
                  <c:v>5.9787488411731596E-3</c:v>
                </c:pt>
              </c:numCache>
            </c:numRef>
          </c:val>
          <c:extLst>
            <c:ext xmlns:c16="http://schemas.microsoft.com/office/drawing/2014/chart" uri="{C3380CC4-5D6E-409C-BE32-E72D297353CC}">
              <c16:uniqueId val="{00000021-A84F-4AFF-90AD-1264CB609548}"/>
            </c:ext>
          </c:extLst>
        </c:ser>
        <c:ser>
          <c:idx val="34"/>
          <c:order val="34"/>
          <c:tx>
            <c:strRef>
              <c:f>Interpolation!$S$37</c:f>
              <c:strCache>
                <c:ptCount val="1"/>
                <c:pt idx="0">
                  <c:v>33.4</c:v>
                </c:pt>
              </c:strCache>
            </c:strRef>
          </c:tx>
          <c:spPr>
            <a:solidFill>
              <a:schemeClr val="accent5">
                <a:lumMod val="5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Interpolation!$T$37:$CV$37</c:f>
              <c:numCache>
                <c:formatCode>General</c:formatCode>
                <c:ptCount val="81"/>
                <c:pt idx="0">
                  <c:v>9.5449852754696564E-3</c:v>
                </c:pt>
                <c:pt idx="1">
                  <c:v>9.3772994677368653E-3</c:v>
                </c:pt>
                <c:pt idx="2">
                  <c:v>9.2127236131670665E-3</c:v>
                </c:pt>
                <c:pt idx="3">
                  <c:v>9.0512577117602619E-3</c:v>
                </c:pt>
                <c:pt idx="4">
                  <c:v>8.8929017635164531E-3</c:v>
                </c:pt>
                <c:pt idx="5">
                  <c:v>8.7376557684356228E-3</c:v>
                </c:pt>
                <c:pt idx="6">
                  <c:v>8.5855197265177884E-3</c:v>
                </c:pt>
                <c:pt idx="7">
                  <c:v>8.4364936377629325E-3</c:v>
                </c:pt>
                <c:pt idx="8">
                  <c:v>8.2905775021710863E-3</c:v>
                </c:pt>
                <c:pt idx="9">
                  <c:v>8.1477713197422325E-3</c:v>
                </c:pt>
                <c:pt idx="10">
                  <c:v>8.008075090476359E-3</c:v>
                </c:pt>
                <c:pt idx="11">
                  <c:v>7.8714888143734812E-3</c:v>
                </c:pt>
                <c:pt idx="12">
                  <c:v>7.7380124914335959E-3</c:v>
                </c:pt>
                <c:pt idx="13">
                  <c:v>7.6076461216567056E-3</c:v>
                </c:pt>
                <c:pt idx="14">
                  <c:v>7.4803897050427955E-3</c:v>
                </c:pt>
                <c:pt idx="15">
                  <c:v>7.3562432415918864E-3</c:v>
                </c:pt>
                <c:pt idx="16">
                  <c:v>7.2352067313039645E-3</c:v>
                </c:pt>
                <c:pt idx="17">
                  <c:v>7.117280174179029E-3</c:v>
                </c:pt>
                <c:pt idx="18">
                  <c:v>7.0024635702170953E-3</c:v>
                </c:pt>
                <c:pt idx="19">
                  <c:v>6.8907569194181489E-3</c:v>
                </c:pt>
                <c:pt idx="20">
                  <c:v>6.7821602217821896E-3</c:v>
                </c:pt>
                <c:pt idx="21">
                  <c:v>6.6766734773092314E-3</c:v>
                </c:pt>
                <c:pt idx="22">
                  <c:v>6.5742966859992594E-3</c:v>
                </c:pt>
                <c:pt idx="23">
                  <c:v>6.4750298478522756E-3</c:v>
                </c:pt>
                <c:pt idx="24">
                  <c:v>6.3788729628682858E-3</c:v>
                </c:pt>
                <c:pt idx="25">
                  <c:v>6.2858260310472832E-3</c:v>
                </c:pt>
                <c:pt idx="26">
                  <c:v>6.1958890523892817E-3</c:v>
                </c:pt>
                <c:pt idx="27">
                  <c:v>6.1090620268942674E-3</c:v>
                </c:pt>
                <c:pt idx="28">
                  <c:v>6.0253449545622393E-3</c:v>
                </c:pt>
                <c:pt idx="29">
                  <c:v>5.9447378353932063E-3</c:v>
                </c:pt>
                <c:pt idx="30">
                  <c:v>5.8672406693871674E-3</c:v>
                </c:pt>
                <c:pt idx="31">
                  <c:v>5.7928534565441156E-3</c:v>
                </c:pt>
                <c:pt idx="32">
                  <c:v>5.721576196864058E-3</c:v>
                </c:pt>
                <c:pt idx="33">
                  <c:v>5.6534088903469875E-3</c:v>
                </c:pt>
                <c:pt idx="34">
                  <c:v>5.5883515369929103E-3</c:v>
                </c:pt>
                <c:pt idx="35">
                  <c:v>5.5264041368018281E-3</c:v>
                </c:pt>
                <c:pt idx="36">
                  <c:v>5.467566689773733E-3</c:v>
                </c:pt>
                <c:pt idx="37">
                  <c:v>5.4118391959086321E-3</c:v>
                </c:pt>
                <c:pt idx="38">
                  <c:v>5.3592216552065253E-3</c:v>
                </c:pt>
                <c:pt idx="39">
                  <c:v>5.3097140676674048E-3</c:v>
                </c:pt>
                <c:pt idx="40">
                  <c:v>5.2633164332912732E-3</c:v>
                </c:pt>
                <c:pt idx="41">
                  <c:v>5.220028752078134E-3</c:v>
                </c:pt>
                <c:pt idx="42">
                  <c:v>5.1798510240279897E-3</c:v>
                </c:pt>
                <c:pt idx="43">
                  <c:v>5.1427832491408396E-3</c:v>
                </c:pt>
                <c:pt idx="44">
                  <c:v>5.1088254274166758E-3</c:v>
                </c:pt>
                <c:pt idx="45">
                  <c:v>5.077977558855507E-3</c:v>
                </c:pt>
                <c:pt idx="46">
                  <c:v>5.0502396434573254E-3</c:v>
                </c:pt>
                <c:pt idx="47">
                  <c:v>5.0256116812221379E-3</c:v>
                </c:pt>
                <c:pt idx="48">
                  <c:v>5.0040936721499445E-3</c:v>
                </c:pt>
                <c:pt idx="49">
                  <c:v>4.9856856162407382E-3</c:v>
                </c:pt>
                <c:pt idx="50">
                  <c:v>4.9703875134945192E-3</c:v>
                </c:pt>
                <c:pt idx="51">
                  <c:v>4.9581993639113012E-3</c:v>
                </c:pt>
                <c:pt idx="52">
                  <c:v>4.9491211674910704E-3</c:v>
                </c:pt>
                <c:pt idx="53">
                  <c:v>4.9431529242338259E-3</c:v>
                </c:pt>
                <c:pt idx="54">
                  <c:v>4.9402946341395764E-3</c:v>
                </c:pt>
                <c:pt idx="55">
                  <c:v>4.9405462972083279E-3</c:v>
                </c:pt>
                <c:pt idx="56">
                  <c:v>4.9439079134400588E-3</c:v>
                </c:pt>
                <c:pt idx="57">
                  <c:v>4.9503794828347847E-3</c:v>
                </c:pt>
                <c:pt idx="58">
                  <c:v>4.9599610053924978E-3</c:v>
                </c:pt>
                <c:pt idx="59">
                  <c:v>4.9726524811132128E-3</c:v>
                </c:pt>
                <c:pt idx="60">
                  <c:v>4.9884539099969063E-3</c:v>
                </c:pt>
                <c:pt idx="61">
                  <c:v>5.0073652920436017E-3</c:v>
                </c:pt>
                <c:pt idx="62">
                  <c:v>5.0293866272532774E-3</c:v>
                </c:pt>
                <c:pt idx="63">
                  <c:v>5.0545179156259602E-3</c:v>
                </c:pt>
                <c:pt idx="64">
                  <c:v>5.0827591571616249E-3</c:v>
                </c:pt>
                <c:pt idx="65">
                  <c:v>5.1141103518602751E-3</c:v>
                </c:pt>
                <c:pt idx="66">
                  <c:v>5.1485714997219264E-3</c:v>
                </c:pt>
                <c:pt idx="67">
                  <c:v>5.1861426007465666E-3</c:v>
                </c:pt>
                <c:pt idx="68">
                  <c:v>5.2268236549341991E-3</c:v>
                </c:pt>
                <c:pt idx="69">
                  <c:v>5.2706146622848197E-3</c:v>
                </c:pt>
                <c:pt idx="70">
                  <c:v>5.3175156227984344E-3</c:v>
                </c:pt>
                <c:pt idx="71">
                  <c:v>5.3675265364750363E-3</c:v>
                </c:pt>
                <c:pt idx="72">
                  <c:v>5.4206474033146324E-3</c:v>
                </c:pt>
                <c:pt idx="73">
                  <c:v>5.4768782233172225E-3</c:v>
                </c:pt>
                <c:pt idx="74">
                  <c:v>5.5362189964827929E-3</c:v>
                </c:pt>
                <c:pt idx="75">
                  <c:v>5.5986697228113703E-3</c:v>
                </c:pt>
                <c:pt idx="76">
                  <c:v>5.664230402302929E-3</c:v>
                </c:pt>
                <c:pt idx="77">
                  <c:v>5.7329010349574817E-3</c:v>
                </c:pt>
                <c:pt idx="78">
                  <c:v>5.8046816207750285E-3</c:v>
                </c:pt>
                <c:pt idx="79">
                  <c:v>5.8795721597555695E-3</c:v>
                </c:pt>
                <c:pt idx="80">
                  <c:v>5.9575726518990898E-3</c:v>
                </c:pt>
              </c:numCache>
            </c:numRef>
          </c:val>
          <c:extLst>
            <c:ext xmlns:c16="http://schemas.microsoft.com/office/drawing/2014/chart" uri="{C3380CC4-5D6E-409C-BE32-E72D297353CC}">
              <c16:uniqueId val="{00000022-A84F-4AFF-90AD-1264CB609548}"/>
            </c:ext>
          </c:extLst>
        </c:ser>
        <c:ser>
          <c:idx val="35"/>
          <c:order val="35"/>
          <c:tx>
            <c:strRef>
              <c:f>Interpolation!$S$38</c:f>
              <c:strCache>
                <c:ptCount val="1"/>
                <c:pt idx="0">
                  <c:v>33.5</c:v>
                </c:pt>
              </c:strCache>
            </c:strRef>
          </c:tx>
          <c:spPr>
            <a:solidFill>
              <a:schemeClr val="accent6">
                <a:lumMod val="5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Interpolation!$T$38:$CV$38</c:f>
              <c:numCache>
                <c:formatCode>General</c:formatCode>
                <c:ptCount val="81"/>
                <c:pt idx="0">
                  <c:v>9.5323279865410764E-3</c:v>
                </c:pt>
                <c:pt idx="1">
                  <c:v>9.3645469482255515E-3</c:v>
                </c:pt>
                <c:pt idx="2">
                  <c:v>9.1998758630730208E-3</c:v>
                </c:pt>
                <c:pt idx="3">
                  <c:v>9.0383147310834824E-3</c:v>
                </c:pt>
                <c:pt idx="4">
                  <c:v>8.8798635522569398E-3</c:v>
                </c:pt>
                <c:pt idx="5">
                  <c:v>8.7245223265933775E-3</c:v>
                </c:pt>
                <c:pt idx="6">
                  <c:v>8.5722910540928093E-3</c:v>
                </c:pt>
                <c:pt idx="7">
                  <c:v>8.4231697347552197E-3</c:v>
                </c:pt>
                <c:pt idx="8">
                  <c:v>8.2771583685806397E-3</c:v>
                </c:pt>
                <c:pt idx="9">
                  <c:v>8.1342569555690539E-3</c:v>
                </c:pt>
                <c:pt idx="10">
                  <c:v>7.9944654957204483E-3</c:v>
                </c:pt>
                <c:pt idx="11">
                  <c:v>7.8577839890348351E-3</c:v>
                </c:pt>
                <c:pt idx="12">
                  <c:v>7.7242124355122177E-3</c:v>
                </c:pt>
                <c:pt idx="13">
                  <c:v>7.5937508351525945E-3</c:v>
                </c:pt>
                <c:pt idx="14">
                  <c:v>7.4663991879559506E-3</c:v>
                </c:pt>
                <c:pt idx="15">
                  <c:v>7.3421574939223078E-3</c:v>
                </c:pt>
                <c:pt idx="16">
                  <c:v>7.221025753051653E-3</c:v>
                </c:pt>
                <c:pt idx="17">
                  <c:v>7.1030039653439845E-3</c:v>
                </c:pt>
                <c:pt idx="18">
                  <c:v>6.988092130799318E-3</c:v>
                </c:pt>
                <c:pt idx="19">
                  <c:v>6.8762902494176378E-3</c:v>
                </c:pt>
                <c:pt idx="20">
                  <c:v>6.7675983211989456E-3</c:v>
                </c:pt>
                <c:pt idx="21">
                  <c:v>6.6620163461432536E-3</c:v>
                </c:pt>
                <c:pt idx="22">
                  <c:v>6.5595443242505488E-3</c:v>
                </c:pt>
                <c:pt idx="23">
                  <c:v>6.460182255520832E-3</c:v>
                </c:pt>
                <c:pt idx="24">
                  <c:v>6.3639301399541093E-3</c:v>
                </c:pt>
                <c:pt idx="25">
                  <c:v>6.270787977550373E-3</c:v>
                </c:pt>
                <c:pt idx="26">
                  <c:v>6.1807557683096377E-3</c:v>
                </c:pt>
                <c:pt idx="27">
                  <c:v>6.0938335122318905E-3</c:v>
                </c:pt>
                <c:pt idx="28">
                  <c:v>6.0100212093171295E-3</c:v>
                </c:pt>
                <c:pt idx="29">
                  <c:v>5.9293188595653636E-3</c:v>
                </c:pt>
                <c:pt idx="30">
                  <c:v>5.8517264629765909E-3</c:v>
                </c:pt>
                <c:pt idx="31">
                  <c:v>5.7772440195508062E-3</c:v>
                </c:pt>
                <c:pt idx="32">
                  <c:v>5.7058715292880157E-3</c:v>
                </c:pt>
                <c:pt idx="33">
                  <c:v>5.6376089921882115E-3</c:v>
                </c:pt>
                <c:pt idx="34">
                  <c:v>5.5724564082514014E-3</c:v>
                </c:pt>
                <c:pt idx="35">
                  <c:v>5.5104137774775862E-3</c:v>
                </c:pt>
                <c:pt idx="36">
                  <c:v>5.4514810998667574E-3</c:v>
                </c:pt>
                <c:pt idx="37">
                  <c:v>5.3956583754189227E-3</c:v>
                </c:pt>
                <c:pt idx="38">
                  <c:v>5.342945604134083E-3</c:v>
                </c:pt>
                <c:pt idx="39">
                  <c:v>5.2933427860122305E-3</c:v>
                </c:pt>
                <c:pt idx="40">
                  <c:v>5.2468499210533643E-3</c:v>
                </c:pt>
                <c:pt idx="41">
                  <c:v>5.2034670092574922E-3</c:v>
                </c:pt>
                <c:pt idx="42">
                  <c:v>5.163194050624615E-3</c:v>
                </c:pt>
                <c:pt idx="43">
                  <c:v>5.1260310451547312E-3</c:v>
                </c:pt>
                <c:pt idx="44">
                  <c:v>5.0919779928478345E-3</c:v>
                </c:pt>
                <c:pt idx="45">
                  <c:v>5.0610348937039328E-3</c:v>
                </c:pt>
                <c:pt idx="46">
                  <c:v>5.0332017477230182E-3</c:v>
                </c:pt>
                <c:pt idx="47">
                  <c:v>5.0084785549050969E-3</c:v>
                </c:pt>
                <c:pt idx="48">
                  <c:v>4.9868653152501706E-3</c:v>
                </c:pt>
                <c:pt idx="49">
                  <c:v>4.9683620287582306E-3</c:v>
                </c:pt>
                <c:pt idx="50">
                  <c:v>4.9529686954292787E-3</c:v>
                </c:pt>
                <c:pt idx="51">
                  <c:v>4.9406853152633269E-3</c:v>
                </c:pt>
                <c:pt idx="52">
                  <c:v>4.9315118882603624E-3</c:v>
                </c:pt>
                <c:pt idx="53">
                  <c:v>4.9254484144203858E-3</c:v>
                </c:pt>
                <c:pt idx="54">
                  <c:v>4.9224948937434026E-3</c:v>
                </c:pt>
                <c:pt idx="55">
                  <c:v>4.9226513262294212E-3</c:v>
                </c:pt>
                <c:pt idx="56">
                  <c:v>4.9259177118784192E-3</c:v>
                </c:pt>
                <c:pt idx="57">
                  <c:v>4.9322940506904122E-3</c:v>
                </c:pt>
                <c:pt idx="58">
                  <c:v>4.9417803426653915E-3</c:v>
                </c:pt>
                <c:pt idx="59">
                  <c:v>4.9543765878033727E-3</c:v>
                </c:pt>
                <c:pt idx="60">
                  <c:v>4.9700827861043333E-3</c:v>
                </c:pt>
                <c:pt idx="61">
                  <c:v>4.9888989375682959E-3</c:v>
                </c:pt>
                <c:pt idx="62">
                  <c:v>5.0108250421952378E-3</c:v>
                </c:pt>
                <c:pt idx="63">
                  <c:v>5.0358610999851876E-3</c:v>
                </c:pt>
                <c:pt idx="64">
                  <c:v>5.0640071109381186E-3</c:v>
                </c:pt>
                <c:pt idx="65">
                  <c:v>5.095263075054036E-3</c:v>
                </c:pt>
                <c:pt idx="66">
                  <c:v>5.1296289923329543E-3</c:v>
                </c:pt>
                <c:pt idx="67">
                  <c:v>5.1671048627748607E-3</c:v>
                </c:pt>
                <c:pt idx="68">
                  <c:v>5.2076906863797612E-3</c:v>
                </c:pt>
                <c:pt idx="69">
                  <c:v>5.2513864631476481E-3</c:v>
                </c:pt>
                <c:pt idx="70">
                  <c:v>5.298192193078529E-3</c:v>
                </c:pt>
                <c:pt idx="71">
                  <c:v>5.348107876172398E-3</c:v>
                </c:pt>
                <c:pt idx="72">
                  <c:v>5.4011335124292612E-3</c:v>
                </c:pt>
                <c:pt idx="73">
                  <c:v>5.4572691018491184E-3</c:v>
                </c:pt>
                <c:pt idx="74">
                  <c:v>5.516514644431955E-3</c:v>
                </c:pt>
                <c:pt idx="75">
                  <c:v>5.5788701401777996E-3</c:v>
                </c:pt>
                <c:pt idx="76">
                  <c:v>5.6443355890866253E-3</c:v>
                </c:pt>
                <c:pt idx="77">
                  <c:v>5.7129109911584434E-3</c:v>
                </c:pt>
                <c:pt idx="78">
                  <c:v>5.7845963463932573E-3</c:v>
                </c:pt>
                <c:pt idx="79">
                  <c:v>5.8593916547910654E-3</c:v>
                </c:pt>
                <c:pt idx="80">
                  <c:v>5.9372969163518528E-3</c:v>
                </c:pt>
              </c:numCache>
            </c:numRef>
          </c:val>
          <c:extLst>
            <c:ext xmlns:c16="http://schemas.microsoft.com/office/drawing/2014/chart" uri="{C3380CC4-5D6E-409C-BE32-E72D297353CC}">
              <c16:uniqueId val="{00000023-A84F-4AFF-90AD-1264CB609548}"/>
            </c:ext>
          </c:extLst>
        </c:ser>
        <c:ser>
          <c:idx val="36"/>
          <c:order val="36"/>
          <c:tx>
            <c:strRef>
              <c:f>Interpolation!$S$39</c:f>
              <c:strCache>
                <c:ptCount val="1"/>
                <c:pt idx="0">
                  <c:v>33.6</c:v>
                </c:pt>
              </c:strCache>
            </c:strRef>
          </c:tx>
          <c:spPr>
            <a:solidFill>
              <a:schemeClr val="accent1">
                <a:lumMod val="70000"/>
                <a:lumOff val="3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Interpolation!$T$39:$CV$39</c:f>
              <c:numCache>
                <c:formatCode>General</c:formatCode>
                <c:ptCount val="81"/>
                <c:pt idx="0">
                  <c:v>9.5205711513392799E-3</c:v>
                </c:pt>
                <c:pt idx="1">
                  <c:v>9.3526948824410212E-3</c:v>
                </c:pt>
                <c:pt idx="2">
                  <c:v>9.1879285667057567E-3</c:v>
                </c:pt>
                <c:pt idx="3">
                  <c:v>9.0262722041334863E-3</c:v>
                </c:pt>
                <c:pt idx="4">
                  <c:v>8.86772579472421E-3</c:v>
                </c:pt>
                <c:pt idx="5">
                  <c:v>8.7122893384779139E-3</c:v>
                </c:pt>
                <c:pt idx="6">
                  <c:v>8.5599628353946119E-3</c:v>
                </c:pt>
                <c:pt idx="7">
                  <c:v>8.4107462854742902E-3</c:v>
                </c:pt>
                <c:pt idx="8">
                  <c:v>8.2646396887169765E-3</c:v>
                </c:pt>
                <c:pt idx="9">
                  <c:v>8.1216430451226569E-3</c:v>
                </c:pt>
                <c:pt idx="10">
                  <c:v>7.9817563546913176E-3</c:v>
                </c:pt>
                <c:pt idx="11">
                  <c:v>7.8449796174229723E-3</c:v>
                </c:pt>
                <c:pt idx="12">
                  <c:v>7.7113128333176212E-3</c:v>
                </c:pt>
                <c:pt idx="13">
                  <c:v>7.5807560023752642E-3</c:v>
                </c:pt>
                <c:pt idx="14">
                  <c:v>7.4533091245958874E-3</c:v>
                </c:pt>
                <c:pt idx="15">
                  <c:v>7.3289721999795117E-3</c:v>
                </c:pt>
                <c:pt idx="16">
                  <c:v>7.2077452285261231E-3</c:v>
                </c:pt>
                <c:pt idx="17">
                  <c:v>7.0896282102357209E-3</c:v>
                </c:pt>
                <c:pt idx="18">
                  <c:v>6.9746211451083206E-3</c:v>
                </c:pt>
                <c:pt idx="19">
                  <c:v>6.8627240331439075E-3</c:v>
                </c:pt>
                <c:pt idx="20">
                  <c:v>6.7539368743424815E-3</c:v>
                </c:pt>
                <c:pt idx="21">
                  <c:v>6.6482596687040575E-3</c:v>
                </c:pt>
                <c:pt idx="22">
                  <c:v>6.5456924162286189E-3</c:v>
                </c:pt>
                <c:pt idx="23">
                  <c:v>6.4462351169161684E-3</c:v>
                </c:pt>
                <c:pt idx="24">
                  <c:v>6.349887770766712E-3</c:v>
                </c:pt>
                <c:pt idx="25">
                  <c:v>6.2566503777802427E-3</c:v>
                </c:pt>
                <c:pt idx="26">
                  <c:v>6.1665229379567746E-3</c:v>
                </c:pt>
                <c:pt idx="27">
                  <c:v>6.0795054512962935E-3</c:v>
                </c:pt>
                <c:pt idx="28">
                  <c:v>5.9955979177987997E-3</c:v>
                </c:pt>
                <c:pt idx="29">
                  <c:v>5.9148003374643E-3</c:v>
                </c:pt>
                <c:pt idx="30">
                  <c:v>5.8371127102927944E-3</c:v>
                </c:pt>
                <c:pt idx="31">
                  <c:v>5.762535036284276E-3</c:v>
                </c:pt>
                <c:pt idx="32">
                  <c:v>5.6910673154387517E-3</c:v>
                </c:pt>
                <c:pt idx="33">
                  <c:v>5.6227095477562146E-3</c:v>
                </c:pt>
                <c:pt idx="34">
                  <c:v>5.5574617332366716E-3</c:v>
                </c:pt>
                <c:pt idx="35">
                  <c:v>5.4953238718801227E-3</c:v>
                </c:pt>
                <c:pt idx="36">
                  <c:v>5.4362959636865609E-3</c:v>
                </c:pt>
                <c:pt idx="37">
                  <c:v>5.3803780086559934E-3</c:v>
                </c:pt>
                <c:pt idx="38">
                  <c:v>5.3275700067884199E-3</c:v>
                </c:pt>
                <c:pt idx="39">
                  <c:v>5.2778719580838336E-3</c:v>
                </c:pt>
                <c:pt idx="40">
                  <c:v>5.2312838625422345E-3</c:v>
                </c:pt>
                <c:pt idx="41">
                  <c:v>5.1878057201636294E-3</c:v>
                </c:pt>
                <c:pt idx="42">
                  <c:v>5.1474375309480186E-3</c:v>
                </c:pt>
                <c:pt idx="43">
                  <c:v>5.1101792948954018E-3</c:v>
                </c:pt>
                <c:pt idx="44">
                  <c:v>5.0760310120057722E-3</c:v>
                </c:pt>
                <c:pt idx="45">
                  <c:v>5.0449926822791358E-3</c:v>
                </c:pt>
                <c:pt idx="46">
                  <c:v>5.0170643057154875E-3</c:v>
                </c:pt>
                <c:pt idx="47">
                  <c:v>4.9922458823148342E-3</c:v>
                </c:pt>
                <c:pt idx="48">
                  <c:v>4.9705374120771742E-3</c:v>
                </c:pt>
                <c:pt idx="49">
                  <c:v>4.9519388950025013E-3</c:v>
                </c:pt>
                <c:pt idx="50">
                  <c:v>4.9364503310908156E-3</c:v>
                </c:pt>
                <c:pt idx="51">
                  <c:v>4.9240717203421309E-3</c:v>
                </c:pt>
                <c:pt idx="52">
                  <c:v>4.9148030627564334E-3</c:v>
                </c:pt>
                <c:pt idx="53">
                  <c:v>4.9086443583337223E-3</c:v>
                </c:pt>
                <c:pt idx="54">
                  <c:v>4.9055956070740061E-3</c:v>
                </c:pt>
                <c:pt idx="55">
                  <c:v>4.9056568089772918E-3</c:v>
                </c:pt>
                <c:pt idx="56">
                  <c:v>4.9088279640435561E-3</c:v>
                </c:pt>
                <c:pt idx="57">
                  <c:v>4.9151090722728153E-3</c:v>
                </c:pt>
                <c:pt idx="58">
                  <c:v>4.9245001336650617E-3</c:v>
                </c:pt>
                <c:pt idx="59">
                  <c:v>4.9370011482203092E-3</c:v>
                </c:pt>
                <c:pt idx="60">
                  <c:v>4.9526121159385369E-3</c:v>
                </c:pt>
                <c:pt idx="61">
                  <c:v>4.9713330368197656E-3</c:v>
                </c:pt>
                <c:pt idx="62">
                  <c:v>4.9931639108639746E-3</c:v>
                </c:pt>
                <c:pt idx="63">
                  <c:v>5.0181047380711916E-3</c:v>
                </c:pt>
                <c:pt idx="64">
                  <c:v>5.0461555184413889E-3</c:v>
                </c:pt>
                <c:pt idx="65">
                  <c:v>5.0773162519745733E-3</c:v>
                </c:pt>
                <c:pt idx="66">
                  <c:v>5.1115869386707587E-3</c:v>
                </c:pt>
                <c:pt idx="67">
                  <c:v>5.1489675785299314E-3</c:v>
                </c:pt>
                <c:pt idx="68">
                  <c:v>5.1894581715520981E-3</c:v>
                </c:pt>
                <c:pt idx="69">
                  <c:v>5.2330587177372521E-3</c:v>
                </c:pt>
                <c:pt idx="70">
                  <c:v>5.2797692170854001E-3</c:v>
                </c:pt>
                <c:pt idx="71">
                  <c:v>5.3295896695965354E-3</c:v>
                </c:pt>
                <c:pt idx="72">
                  <c:v>5.3825200752706647E-3</c:v>
                </c:pt>
                <c:pt idx="73">
                  <c:v>5.4385604341077882E-3</c:v>
                </c:pt>
                <c:pt idx="74">
                  <c:v>5.4977107461078919E-3</c:v>
                </c:pt>
                <c:pt idx="75">
                  <c:v>5.5599710112710036E-3</c:v>
                </c:pt>
                <c:pt idx="76">
                  <c:v>5.6253412295970955E-3</c:v>
                </c:pt>
                <c:pt idx="77">
                  <c:v>5.6938214010861816E-3</c:v>
                </c:pt>
                <c:pt idx="78">
                  <c:v>5.7654115257382618E-3</c:v>
                </c:pt>
                <c:pt idx="79">
                  <c:v>5.840111603553336E-3</c:v>
                </c:pt>
                <c:pt idx="80">
                  <c:v>5.9179216345313906E-3</c:v>
                </c:pt>
              </c:numCache>
            </c:numRef>
          </c:val>
          <c:extLst>
            <c:ext xmlns:c16="http://schemas.microsoft.com/office/drawing/2014/chart" uri="{C3380CC4-5D6E-409C-BE32-E72D297353CC}">
              <c16:uniqueId val="{00000024-A84F-4AFF-90AD-1264CB609548}"/>
            </c:ext>
          </c:extLst>
        </c:ser>
        <c:ser>
          <c:idx val="37"/>
          <c:order val="37"/>
          <c:tx>
            <c:strRef>
              <c:f>Interpolation!$S$40</c:f>
              <c:strCache>
                <c:ptCount val="1"/>
                <c:pt idx="0">
                  <c:v>33.7</c:v>
                </c:pt>
              </c:strCache>
            </c:strRef>
          </c:tx>
          <c:spPr>
            <a:solidFill>
              <a:schemeClr val="accent2">
                <a:lumMod val="70000"/>
                <a:lumOff val="3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Interpolation!$T$40:$CV$40</c:f>
              <c:numCache>
                <c:formatCode>General</c:formatCode>
                <c:ptCount val="81"/>
                <c:pt idx="0">
                  <c:v>9.5097147698643223E-3</c:v>
                </c:pt>
                <c:pt idx="1">
                  <c:v>9.3417432703833299E-3</c:v>
                </c:pt>
                <c:pt idx="2">
                  <c:v>9.1768817240653333E-3</c:v>
                </c:pt>
                <c:pt idx="3">
                  <c:v>9.0151301309103291E-3</c:v>
                </c:pt>
                <c:pt idx="4">
                  <c:v>8.8564884909183191E-3</c:v>
                </c:pt>
                <c:pt idx="5">
                  <c:v>8.700956804089291E-3</c:v>
                </c:pt>
                <c:pt idx="6">
                  <c:v>8.5485350704232552E-3</c:v>
                </c:pt>
                <c:pt idx="7">
                  <c:v>8.3992232899201998E-3</c:v>
                </c:pt>
                <c:pt idx="8">
                  <c:v>8.253021462580154E-3</c:v>
                </c:pt>
                <c:pt idx="9">
                  <c:v>8.1099295884031006E-3</c:v>
                </c:pt>
                <c:pt idx="10">
                  <c:v>7.9699476673890275E-3</c:v>
                </c:pt>
                <c:pt idx="11">
                  <c:v>7.8330756995379485E-3</c:v>
                </c:pt>
                <c:pt idx="12">
                  <c:v>7.6993136848498645E-3</c:v>
                </c:pt>
                <c:pt idx="13">
                  <c:v>7.5686616233247746E-3</c:v>
                </c:pt>
                <c:pt idx="14">
                  <c:v>7.4411195149626649E-3</c:v>
                </c:pt>
                <c:pt idx="15">
                  <c:v>7.3166873597635554E-3</c:v>
                </c:pt>
                <c:pt idx="16">
                  <c:v>7.195365157727434E-3</c:v>
                </c:pt>
                <c:pt idx="17">
                  <c:v>7.0771529088542989E-3</c:v>
                </c:pt>
                <c:pt idx="18">
                  <c:v>6.9620506131441657E-3</c:v>
                </c:pt>
                <c:pt idx="19">
                  <c:v>6.8500582705970196E-3</c:v>
                </c:pt>
                <c:pt idx="20">
                  <c:v>6.7411758812128599E-3</c:v>
                </c:pt>
                <c:pt idx="21">
                  <c:v>6.6354034449917021E-3</c:v>
                </c:pt>
                <c:pt idx="22">
                  <c:v>6.5327409619335315E-3</c:v>
                </c:pt>
                <c:pt idx="23">
                  <c:v>6.4331884320383472E-3</c:v>
                </c:pt>
                <c:pt idx="24">
                  <c:v>6.336745855306157E-3</c:v>
                </c:pt>
                <c:pt idx="25">
                  <c:v>6.2434132317369558E-3</c:v>
                </c:pt>
                <c:pt idx="26">
                  <c:v>6.1531905613307538E-3</c:v>
                </c:pt>
                <c:pt idx="27">
                  <c:v>6.0660778440875399E-3</c:v>
                </c:pt>
                <c:pt idx="28">
                  <c:v>5.9820750800073123E-3</c:v>
                </c:pt>
                <c:pt idx="29">
                  <c:v>5.9011822690900797E-3</c:v>
                </c:pt>
                <c:pt idx="30">
                  <c:v>5.8233994113358403E-3</c:v>
                </c:pt>
                <c:pt idx="31">
                  <c:v>5.748726506744589E-3</c:v>
                </c:pt>
                <c:pt idx="32">
                  <c:v>5.6771635553163318E-3</c:v>
                </c:pt>
                <c:pt idx="33">
                  <c:v>5.6087105570510609E-3</c:v>
                </c:pt>
                <c:pt idx="34">
                  <c:v>5.543367511948785E-3</c:v>
                </c:pt>
                <c:pt idx="35">
                  <c:v>5.4811344200095024E-3</c:v>
                </c:pt>
                <c:pt idx="36">
                  <c:v>5.4220112812332077E-3</c:v>
                </c:pt>
                <c:pt idx="37">
                  <c:v>5.3659980956199064E-3</c:v>
                </c:pt>
                <c:pt idx="38">
                  <c:v>5.3130948631696E-3</c:v>
                </c:pt>
                <c:pt idx="39">
                  <c:v>5.2633015838822808E-3</c:v>
                </c:pt>
                <c:pt idx="40">
                  <c:v>5.2166182577579479E-3</c:v>
                </c:pt>
                <c:pt idx="41">
                  <c:v>5.17304488479661E-3</c:v>
                </c:pt>
                <c:pt idx="42">
                  <c:v>5.1325814649982662E-3</c:v>
                </c:pt>
                <c:pt idx="43">
                  <c:v>5.0952279983629157E-3</c:v>
                </c:pt>
                <c:pt idx="44">
                  <c:v>5.0609844848905532E-3</c:v>
                </c:pt>
                <c:pt idx="45">
                  <c:v>5.029850924581184E-3</c:v>
                </c:pt>
                <c:pt idx="46">
                  <c:v>5.0018273174348028E-3</c:v>
                </c:pt>
                <c:pt idx="47">
                  <c:v>4.9769136634514157E-3</c:v>
                </c:pt>
                <c:pt idx="48">
                  <c:v>4.9551099626310218E-3</c:v>
                </c:pt>
                <c:pt idx="49">
                  <c:v>4.9364162149736161E-3</c:v>
                </c:pt>
                <c:pt idx="50">
                  <c:v>4.9208324204791966E-3</c:v>
                </c:pt>
                <c:pt idx="51">
                  <c:v>4.908358579147779E-3</c:v>
                </c:pt>
                <c:pt idx="52">
                  <c:v>4.8989946909793487E-3</c:v>
                </c:pt>
                <c:pt idx="53">
                  <c:v>4.8927407559739046E-3</c:v>
                </c:pt>
                <c:pt idx="54">
                  <c:v>4.8895967741314555E-3</c:v>
                </c:pt>
                <c:pt idx="55">
                  <c:v>4.8895627454520075E-3</c:v>
                </c:pt>
                <c:pt idx="56">
                  <c:v>4.8926386699355388E-3</c:v>
                </c:pt>
                <c:pt idx="57">
                  <c:v>4.8988245475820643E-3</c:v>
                </c:pt>
                <c:pt idx="58">
                  <c:v>4.9081203783915778E-3</c:v>
                </c:pt>
                <c:pt idx="59">
                  <c:v>4.9205261623640924E-3</c:v>
                </c:pt>
                <c:pt idx="60">
                  <c:v>4.9360418994995872E-3</c:v>
                </c:pt>
                <c:pt idx="61">
                  <c:v>4.954667589798083E-3</c:v>
                </c:pt>
                <c:pt idx="62">
                  <c:v>4.9764032332595583E-3</c:v>
                </c:pt>
                <c:pt idx="63">
                  <c:v>5.0012488298840415E-3</c:v>
                </c:pt>
                <c:pt idx="64">
                  <c:v>5.0292043796715067E-3</c:v>
                </c:pt>
                <c:pt idx="65">
                  <c:v>5.0602698826219573E-3</c:v>
                </c:pt>
                <c:pt idx="66">
                  <c:v>5.094445338735409E-3</c:v>
                </c:pt>
                <c:pt idx="67">
                  <c:v>5.1317307480118479E-3</c:v>
                </c:pt>
                <c:pt idx="68">
                  <c:v>5.1721261104512818E-3</c:v>
                </c:pt>
                <c:pt idx="69">
                  <c:v>5.2156314260537028E-3</c:v>
                </c:pt>
                <c:pt idx="70">
                  <c:v>5.2622466948191171E-3</c:v>
                </c:pt>
                <c:pt idx="71">
                  <c:v>5.3119719167475194E-3</c:v>
                </c:pt>
                <c:pt idx="72">
                  <c:v>5.3648070918389159E-3</c:v>
                </c:pt>
                <c:pt idx="73">
                  <c:v>5.4207522200933065E-3</c:v>
                </c:pt>
                <c:pt idx="74">
                  <c:v>5.4798073015106773E-3</c:v>
                </c:pt>
                <c:pt idx="75">
                  <c:v>5.5419723360910552E-3</c:v>
                </c:pt>
                <c:pt idx="76">
                  <c:v>5.6072473238344134E-3</c:v>
                </c:pt>
                <c:pt idx="77">
                  <c:v>5.6756322647407665E-3</c:v>
                </c:pt>
                <c:pt idx="78">
                  <c:v>5.7471271588101138E-3</c:v>
                </c:pt>
                <c:pt idx="79">
                  <c:v>5.8217320060424543E-3</c:v>
                </c:pt>
                <c:pt idx="80">
                  <c:v>5.8994468064377751E-3</c:v>
                </c:pt>
              </c:numCache>
            </c:numRef>
          </c:val>
          <c:extLst>
            <c:ext xmlns:c16="http://schemas.microsoft.com/office/drawing/2014/chart" uri="{C3380CC4-5D6E-409C-BE32-E72D297353CC}">
              <c16:uniqueId val="{00000025-A84F-4AFF-90AD-1264CB609548}"/>
            </c:ext>
          </c:extLst>
        </c:ser>
        <c:ser>
          <c:idx val="38"/>
          <c:order val="38"/>
          <c:tx>
            <c:strRef>
              <c:f>Interpolation!$S$41</c:f>
              <c:strCache>
                <c:ptCount val="1"/>
                <c:pt idx="0">
                  <c:v>33.8</c:v>
                </c:pt>
              </c:strCache>
            </c:strRef>
          </c:tx>
          <c:spPr>
            <a:solidFill>
              <a:schemeClr val="accent3">
                <a:lumMod val="70000"/>
                <a:lumOff val="3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Interpolation!$T$41:$CV$41</c:f>
              <c:numCache>
                <c:formatCode>General</c:formatCode>
                <c:ptCount val="81"/>
                <c:pt idx="0">
                  <c:v>9.4997588421161985E-3</c:v>
                </c:pt>
                <c:pt idx="1">
                  <c:v>9.3316921120524723E-3</c:v>
                </c:pt>
                <c:pt idx="2">
                  <c:v>9.1667353351517419E-3</c:v>
                </c:pt>
                <c:pt idx="3">
                  <c:v>9.0048885114140057E-3</c:v>
                </c:pt>
                <c:pt idx="4">
                  <c:v>8.8461516408392619E-3</c:v>
                </c:pt>
                <c:pt idx="5">
                  <c:v>8.6905247234275E-3</c:v>
                </c:pt>
                <c:pt idx="6">
                  <c:v>8.5380077591787323E-3</c:v>
                </c:pt>
                <c:pt idx="7">
                  <c:v>8.3886007480929448E-3</c:v>
                </c:pt>
                <c:pt idx="8">
                  <c:v>8.2423036901701635E-3</c:v>
                </c:pt>
                <c:pt idx="9">
                  <c:v>8.0991165854103781E-3</c:v>
                </c:pt>
                <c:pt idx="10">
                  <c:v>7.959039433813573E-3</c:v>
                </c:pt>
                <c:pt idx="11">
                  <c:v>7.8220722353797602E-3</c:v>
                </c:pt>
                <c:pt idx="12">
                  <c:v>7.6882149901089433E-3</c:v>
                </c:pt>
                <c:pt idx="13">
                  <c:v>7.5574676980011196E-3</c:v>
                </c:pt>
                <c:pt idx="14">
                  <c:v>7.4298303590562761E-3</c:v>
                </c:pt>
                <c:pt idx="15">
                  <c:v>7.3053029732744346E-3</c:v>
                </c:pt>
                <c:pt idx="16">
                  <c:v>7.1838855406555794E-3</c:v>
                </c:pt>
                <c:pt idx="17">
                  <c:v>7.0655780611997114E-3</c:v>
                </c:pt>
                <c:pt idx="18">
                  <c:v>6.9503805349068453E-3</c:v>
                </c:pt>
                <c:pt idx="19">
                  <c:v>6.8382929617769655E-3</c:v>
                </c:pt>
                <c:pt idx="20">
                  <c:v>6.7293153418100738E-3</c:v>
                </c:pt>
                <c:pt idx="21">
                  <c:v>6.6234476750061822E-3</c:v>
                </c:pt>
                <c:pt idx="22">
                  <c:v>6.5206899613652778E-3</c:v>
                </c:pt>
                <c:pt idx="23">
                  <c:v>6.4210422008873606E-3</c:v>
                </c:pt>
                <c:pt idx="24">
                  <c:v>6.3245043935724384E-3</c:v>
                </c:pt>
                <c:pt idx="25">
                  <c:v>6.2310765394205034E-3</c:v>
                </c:pt>
                <c:pt idx="26">
                  <c:v>6.1407586384315685E-3</c:v>
                </c:pt>
                <c:pt idx="27">
                  <c:v>6.0535506906056209E-3</c:v>
                </c:pt>
                <c:pt idx="28">
                  <c:v>5.9694526959426604E-3</c:v>
                </c:pt>
                <c:pt idx="29">
                  <c:v>5.8884646544426949E-3</c:v>
                </c:pt>
                <c:pt idx="30">
                  <c:v>5.8105865661057226E-3</c:v>
                </c:pt>
                <c:pt idx="31">
                  <c:v>5.7358184309317384E-3</c:v>
                </c:pt>
                <c:pt idx="32">
                  <c:v>5.6641602489207474E-3</c:v>
                </c:pt>
                <c:pt idx="33">
                  <c:v>5.5956120200727436E-3</c:v>
                </c:pt>
                <c:pt idx="34">
                  <c:v>5.5301737443877348E-3</c:v>
                </c:pt>
                <c:pt idx="35">
                  <c:v>5.4678454218657193E-3</c:v>
                </c:pt>
                <c:pt idx="36">
                  <c:v>5.4086270525066909E-3</c:v>
                </c:pt>
                <c:pt idx="37">
                  <c:v>5.3525186363106575E-3</c:v>
                </c:pt>
                <c:pt idx="38">
                  <c:v>5.2995201732776174E-3</c:v>
                </c:pt>
                <c:pt idx="39">
                  <c:v>5.2496316634075644E-3</c:v>
                </c:pt>
                <c:pt idx="40">
                  <c:v>5.2028531067004995E-3</c:v>
                </c:pt>
                <c:pt idx="41">
                  <c:v>5.1591845031564278E-3</c:v>
                </c:pt>
                <c:pt idx="42">
                  <c:v>5.1186258527753502E-3</c:v>
                </c:pt>
                <c:pt idx="43">
                  <c:v>5.0811771555572677E-3</c:v>
                </c:pt>
                <c:pt idx="44">
                  <c:v>5.0468384115021714E-3</c:v>
                </c:pt>
                <c:pt idx="45">
                  <c:v>5.0156096206100693E-3</c:v>
                </c:pt>
                <c:pt idx="46">
                  <c:v>4.9874907828809552E-3</c:v>
                </c:pt>
                <c:pt idx="47">
                  <c:v>4.9624818983148343E-3</c:v>
                </c:pt>
                <c:pt idx="48">
                  <c:v>4.9405829669117085E-3</c:v>
                </c:pt>
                <c:pt idx="49">
                  <c:v>4.9217939886715689E-3</c:v>
                </c:pt>
                <c:pt idx="50">
                  <c:v>4.9061149635944174E-3</c:v>
                </c:pt>
                <c:pt idx="51">
                  <c:v>4.8935458916802661E-3</c:v>
                </c:pt>
                <c:pt idx="52">
                  <c:v>4.884086772929102E-3</c:v>
                </c:pt>
                <c:pt idx="53">
                  <c:v>4.877737607340925E-3</c:v>
                </c:pt>
                <c:pt idx="54">
                  <c:v>4.8744983949157421E-3</c:v>
                </c:pt>
                <c:pt idx="55">
                  <c:v>4.8743691356535612E-3</c:v>
                </c:pt>
                <c:pt idx="56">
                  <c:v>4.8773498295543597E-3</c:v>
                </c:pt>
                <c:pt idx="57">
                  <c:v>4.8834404766181522E-3</c:v>
                </c:pt>
                <c:pt idx="58">
                  <c:v>4.8926410768449329E-3</c:v>
                </c:pt>
                <c:pt idx="59">
                  <c:v>4.9049516302347145E-3</c:v>
                </c:pt>
                <c:pt idx="60">
                  <c:v>4.9203721367874756E-3</c:v>
                </c:pt>
                <c:pt idx="61">
                  <c:v>4.9389025965032377E-3</c:v>
                </c:pt>
                <c:pt idx="62">
                  <c:v>4.9605430093819809E-3</c:v>
                </c:pt>
                <c:pt idx="63">
                  <c:v>4.9852933754237312E-3</c:v>
                </c:pt>
                <c:pt idx="64">
                  <c:v>5.0131536946284617E-3</c:v>
                </c:pt>
                <c:pt idx="65">
                  <c:v>5.0441239669961804E-3</c:v>
                </c:pt>
                <c:pt idx="66">
                  <c:v>5.0782041925268983E-3</c:v>
                </c:pt>
                <c:pt idx="67">
                  <c:v>5.1153943712206051E-3</c:v>
                </c:pt>
                <c:pt idx="68">
                  <c:v>5.1556945030773061E-3</c:v>
                </c:pt>
                <c:pt idx="69">
                  <c:v>5.1991045880969934E-3</c:v>
                </c:pt>
                <c:pt idx="70">
                  <c:v>5.2456246262796748E-3</c:v>
                </c:pt>
                <c:pt idx="71">
                  <c:v>5.2952546176253442E-3</c:v>
                </c:pt>
                <c:pt idx="72">
                  <c:v>5.3479945621340078E-3</c:v>
                </c:pt>
                <c:pt idx="73">
                  <c:v>5.4038444598056646E-3</c:v>
                </c:pt>
                <c:pt idx="74">
                  <c:v>5.4628043106403016E-3</c:v>
                </c:pt>
                <c:pt idx="75">
                  <c:v>5.5248741146379466E-3</c:v>
                </c:pt>
                <c:pt idx="76">
                  <c:v>5.5900538717985719E-3</c:v>
                </c:pt>
                <c:pt idx="77">
                  <c:v>5.6583435821221922E-3</c:v>
                </c:pt>
                <c:pt idx="78">
                  <c:v>5.7297432456088057E-3</c:v>
                </c:pt>
                <c:pt idx="79">
                  <c:v>5.8042528622584133E-3</c:v>
                </c:pt>
                <c:pt idx="80">
                  <c:v>5.881872432071002E-3</c:v>
                </c:pt>
              </c:numCache>
            </c:numRef>
          </c:val>
          <c:extLst>
            <c:ext xmlns:c16="http://schemas.microsoft.com/office/drawing/2014/chart" uri="{C3380CC4-5D6E-409C-BE32-E72D297353CC}">
              <c16:uniqueId val="{00000026-A84F-4AFF-90AD-1264CB609548}"/>
            </c:ext>
          </c:extLst>
        </c:ser>
        <c:ser>
          <c:idx val="39"/>
          <c:order val="39"/>
          <c:tx>
            <c:strRef>
              <c:f>Interpolation!$S$42</c:f>
              <c:strCache>
                <c:ptCount val="1"/>
                <c:pt idx="0">
                  <c:v>33.9</c:v>
                </c:pt>
              </c:strCache>
            </c:strRef>
          </c:tx>
          <c:spPr>
            <a:solidFill>
              <a:schemeClr val="accent4">
                <a:lumMod val="70000"/>
                <a:lumOff val="3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Interpolation!$T$42:$CV$42</c:f>
              <c:numCache>
                <c:formatCode>General</c:formatCode>
                <c:ptCount val="81"/>
                <c:pt idx="0">
                  <c:v>9.4907033680948685E-3</c:v>
                </c:pt>
                <c:pt idx="1">
                  <c:v>9.3225414074484102E-3</c:v>
                </c:pt>
                <c:pt idx="2">
                  <c:v>9.1574893999649461E-3</c:v>
                </c:pt>
                <c:pt idx="3">
                  <c:v>8.9955473456444762E-3</c:v>
                </c:pt>
                <c:pt idx="4">
                  <c:v>8.8367152444870003E-3</c:v>
                </c:pt>
                <c:pt idx="5">
                  <c:v>8.6809930964925047E-3</c:v>
                </c:pt>
                <c:pt idx="6">
                  <c:v>8.5283809016610031E-3</c:v>
                </c:pt>
                <c:pt idx="7">
                  <c:v>8.3788786599924819E-3</c:v>
                </c:pt>
                <c:pt idx="8">
                  <c:v>8.2324863714869686E-3</c:v>
                </c:pt>
                <c:pt idx="9">
                  <c:v>8.0892040361444494E-3</c:v>
                </c:pt>
                <c:pt idx="10">
                  <c:v>7.9490316539649105E-3</c:v>
                </c:pt>
                <c:pt idx="11">
                  <c:v>7.8119692249483657E-3</c:v>
                </c:pt>
                <c:pt idx="12">
                  <c:v>7.6780167490948141E-3</c:v>
                </c:pt>
                <c:pt idx="13">
                  <c:v>7.5471742264042576E-3</c:v>
                </c:pt>
                <c:pt idx="14">
                  <c:v>7.4194416568766812E-3</c:v>
                </c:pt>
                <c:pt idx="15">
                  <c:v>7.294819040512106E-3</c:v>
                </c:pt>
                <c:pt idx="16">
                  <c:v>7.1733063773105179E-3</c:v>
                </c:pt>
                <c:pt idx="17">
                  <c:v>7.0549036672719161E-3</c:v>
                </c:pt>
                <c:pt idx="18">
                  <c:v>6.9396109103963162E-3</c:v>
                </c:pt>
                <c:pt idx="19">
                  <c:v>6.8274281066837035E-3</c:v>
                </c:pt>
                <c:pt idx="20">
                  <c:v>6.718355256134078E-3</c:v>
                </c:pt>
                <c:pt idx="21">
                  <c:v>6.6123923587474535E-3</c:v>
                </c:pt>
                <c:pt idx="22">
                  <c:v>6.5095394145238163E-3</c:v>
                </c:pt>
                <c:pt idx="23">
                  <c:v>6.4097964234631662E-3</c:v>
                </c:pt>
                <c:pt idx="24">
                  <c:v>6.3131633855655102E-3</c:v>
                </c:pt>
                <c:pt idx="25">
                  <c:v>6.2196403008308414E-3</c:v>
                </c:pt>
                <c:pt idx="26">
                  <c:v>6.1292271692591736E-3</c:v>
                </c:pt>
                <c:pt idx="27">
                  <c:v>6.0419239908504931E-3</c:v>
                </c:pt>
                <c:pt idx="28">
                  <c:v>5.9577307656047988E-3</c:v>
                </c:pt>
                <c:pt idx="29">
                  <c:v>5.8766474935220995E-3</c:v>
                </c:pt>
                <c:pt idx="30">
                  <c:v>5.7986741746023944E-3</c:v>
                </c:pt>
                <c:pt idx="31">
                  <c:v>5.7238108088456764E-3</c:v>
                </c:pt>
                <c:pt idx="32">
                  <c:v>5.6520573962519525E-3</c:v>
                </c:pt>
                <c:pt idx="33">
                  <c:v>5.583413936821215E-3</c:v>
                </c:pt>
                <c:pt idx="34">
                  <c:v>5.5178804305534724E-3</c:v>
                </c:pt>
                <c:pt idx="35">
                  <c:v>5.4554568774487239E-3</c:v>
                </c:pt>
                <c:pt idx="36">
                  <c:v>5.3961432775069627E-3</c:v>
                </c:pt>
                <c:pt idx="37">
                  <c:v>5.3399396307281955E-3</c:v>
                </c:pt>
                <c:pt idx="38">
                  <c:v>5.2868459371124225E-3</c:v>
                </c:pt>
                <c:pt idx="39">
                  <c:v>5.2368621966596366E-3</c:v>
                </c:pt>
                <c:pt idx="40">
                  <c:v>5.1899884093698379E-3</c:v>
                </c:pt>
                <c:pt idx="41">
                  <c:v>5.1462245752430334E-3</c:v>
                </c:pt>
                <c:pt idx="42">
                  <c:v>5.1055706942792229E-3</c:v>
                </c:pt>
                <c:pt idx="43">
                  <c:v>5.0680267664784066E-3</c:v>
                </c:pt>
                <c:pt idx="44">
                  <c:v>5.0335927918405765E-3</c:v>
                </c:pt>
                <c:pt idx="45">
                  <c:v>5.0022687703657415E-3</c:v>
                </c:pt>
                <c:pt idx="46">
                  <c:v>4.9740547020538936E-3</c:v>
                </c:pt>
                <c:pt idx="47">
                  <c:v>4.9489505869050399E-3</c:v>
                </c:pt>
                <c:pt idx="48">
                  <c:v>4.9269564249191803E-3</c:v>
                </c:pt>
                <c:pt idx="49">
                  <c:v>4.9080722160963078E-3</c:v>
                </c:pt>
                <c:pt idx="50">
                  <c:v>4.8922979604364225E-3</c:v>
                </c:pt>
                <c:pt idx="51">
                  <c:v>4.8796336579395375E-3</c:v>
                </c:pt>
                <c:pt idx="52">
                  <c:v>4.8700793086056404E-3</c:v>
                </c:pt>
                <c:pt idx="53">
                  <c:v>4.8636349124347306E-3</c:v>
                </c:pt>
                <c:pt idx="54">
                  <c:v>4.8603004694268148E-3</c:v>
                </c:pt>
                <c:pt idx="55">
                  <c:v>4.8600759795819001E-3</c:v>
                </c:pt>
                <c:pt idx="56">
                  <c:v>4.8629614428999657E-3</c:v>
                </c:pt>
                <c:pt idx="57">
                  <c:v>4.8689568593810253E-3</c:v>
                </c:pt>
                <c:pt idx="58">
                  <c:v>4.8780622290250713E-3</c:v>
                </c:pt>
                <c:pt idx="59">
                  <c:v>4.8902775518321201E-3</c:v>
                </c:pt>
                <c:pt idx="60">
                  <c:v>4.9056028278021482E-3</c:v>
                </c:pt>
                <c:pt idx="61">
                  <c:v>4.9240380569351774E-3</c:v>
                </c:pt>
                <c:pt idx="62">
                  <c:v>4.9455832392311869E-3</c:v>
                </c:pt>
                <c:pt idx="63">
                  <c:v>4.9702383746902034E-3</c:v>
                </c:pt>
                <c:pt idx="64">
                  <c:v>4.9980034633122011E-3</c:v>
                </c:pt>
                <c:pt idx="65">
                  <c:v>5.0288785050971851E-3</c:v>
                </c:pt>
                <c:pt idx="66">
                  <c:v>5.062863500045171E-3</c:v>
                </c:pt>
                <c:pt idx="67">
                  <c:v>5.0999584481561441E-3</c:v>
                </c:pt>
                <c:pt idx="68">
                  <c:v>5.1401633494301113E-3</c:v>
                </c:pt>
                <c:pt idx="69">
                  <c:v>5.1834782038670656E-3</c:v>
                </c:pt>
                <c:pt idx="70">
                  <c:v>5.2299030114670141E-3</c:v>
                </c:pt>
                <c:pt idx="71">
                  <c:v>5.2794377722299498E-3</c:v>
                </c:pt>
                <c:pt idx="72">
                  <c:v>5.3320824861558796E-3</c:v>
                </c:pt>
                <c:pt idx="73">
                  <c:v>5.3878371532448035E-3</c:v>
                </c:pt>
                <c:pt idx="74">
                  <c:v>5.4467017734967076E-3</c:v>
                </c:pt>
                <c:pt idx="75">
                  <c:v>5.5086763469116198E-3</c:v>
                </c:pt>
                <c:pt idx="76">
                  <c:v>5.5737608734895113E-3</c:v>
                </c:pt>
                <c:pt idx="77">
                  <c:v>5.6419553532303978E-3</c:v>
                </c:pt>
                <c:pt idx="78">
                  <c:v>5.7132597861342784E-3</c:v>
                </c:pt>
                <c:pt idx="79">
                  <c:v>5.7876741722011531E-3</c:v>
                </c:pt>
                <c:pt idx="80">
                  <c:v>5.8651985114310072E-3</c:v>
                </c:pt>
              </c:numCache>
            </c:numRef>
          </c:val>
          <c:extLst>
            <c:ext xmlns:c16="http://schemas.microsoft.com/office/drawing/2014/chart" uri="{C3380CC4-5D6E-409C-BE32-E72D297353CC}">
              <c16:uniqueId val="{00000027-A84F-4AFF-90AD-1264CB609548}"/>
            </c:ext>
          </c:extLst>
        </c:ser>
        <c:ser>
          <c:idx val="40"/>
          <c:order val="40"/>
          <c:tx>
            <c:strRef>
              <c:f>Interpolation!$S$43</c:f>
              <c:strCache>
                <c:ptCount val="1"/>
                <c:pt idx="0">
                  <c:v>34</c:v>
                </c:pt>
              </c:strCache>
            </c:strRef>
          </c:tx>
          <c:spPr>
            <a:solidFill>
              <a:schemeClr val="accent5">
                <a:lumMod val="70000"/>
                <a:lumOff val="3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Interpolation!$T$43:$CV$43</c:f>
              <c:numCache>
                <c:formatCode>General</c:formatCode>
                <c:ptCount val="81"/>
                <c:pt idx="0">
                  <c:v>9.4825483478003653E-3</c:v>
                </c:pt>
                <c:pt idx="1">
                  <c:v>9.314291156571175E-3</c:v>
                </c:pt>
                <c:pt idx="2">
                  <c:v>9.1491439185049771E-3</c:v>
                </c:pt>
                <c:pt idx="3">
                  <c:v>8.9871066336017734E-3</c:v>
                </c:pt>
                <c:pt idx="4">
                  <c:v>8.8281793018615655E-3</c:v>
                </c:pt>
                <c:pt idx="5">
                  <c:v>8.6723619232843361E-3</c:v>
                </c:pt>
                <c:pt idx="6">
                  <c:v>8.5196544978701008E-3</c:v>
                </c:pt>
                <c:pt idx="7">
                  <c:v>8.3700570256188458E-3</c:v>
                </c:pt>
                <c:pt idx="8">
                  <c:v>8.2235695065306005E-3</c:v>
                </c:pt>
                <c:pt idx="9">
                  <c:v>8.0801919406053475E-3</c:v>
                </c:pt>
                <c:pt idx="10">
                  <c:v>7.9399243278430748E-3</c:v>
                </c:pt>
                <c:pt idx="11">
                  <c:v>7.8027666682437971E-3</c:v>
                </c:pt>
                <c:pt idx="12">
                  <c:v>7.6687189618075127E-3</c:v>
                </c:pt>
                <c:pt idx="13">
                  <c:v>7.5377812085342232E-3</c:v>
                </c:pt>
                <c:pt idx="14">
                  <c:v>7.4099534084239131E-3</c:v>
                </c:pt>
                <c:pt idx="15">
                  <c:v>7.2852355614766049E-3</c:v>
                </c:pt>
                <c:pt idx="16">
                  <c:v>7.1636276676922831E-3</c:v>
                </c:pt>
                <c:pt idx="17">
                  <c:v>7.0451297270709493E-3</c:v>
                </c:pt>
                <c:pt idx="18">
                  <c:v>6.9297417396126156E-3</c:v>
                </c:pt>
                <c:pt idx="19">
                  <c:v>6.81746370531727E-3</c:v>
                </c:pt>
                <c:pt idx="20">
                  <c:v>6.7082956241849108E-3</c:v>
                </c:pt>
                <c:pt idx="21">
                  <c:v>6.6022374962155534E-3</c:v>
                </c:pt>
                <c:pt idx="22">
                  <c:v>6.4992893214091824E-3</c:v>
                </c:pt>
                <c:pt idx="23">
                  <c:v>6.3994510997657985E-3</c:v>
                </c:pt>
                <c:pt idx="24">
                  <c:v>6.3027228312854096E-3</c:v>
                </c:pt>
                <c:pt idx="25">
                  <c:v>6.2091045159680079E-3</c:v>
                </c:pt>
                <c:pt idx="26">
                  <c:v>6.1185961538136064E-3</c:v>
                </c:pt>
                <c:pt idx="27">
                  <c:v>6.0311977448221929E-3</c:v>
                </c:pt>
                <c:pt idx="28">
                  <c:v>5.9469092889937658E-3</c:v>
                </c:pt>
                <c:pt idx="29">
                  <c:v>5.8657307863283336E-3</c:v>
                </c:pt>
                <c:pt idx="30">
                  <c:v>5.7876622368258947E-3</c:v>
                </c:pt>
                <c:pt idx="31">
                  <c:v>5.7127036404864438E-3</c:v>
                </c:pt>
                <c:pt idx="32">
                  <c:v>5.640854997309987E-3</c:v>
                </c:pt>
                <c:pt idx="33">
                  <c:v>5.5721163072965166E-3</c:v>
                </c:pt>
                <c:pt idx="34">
                  <c:v>5.5064875704460402E-3</c:v>
                </c:pt>
                <c:pt idx="35">
                  <c:v>5.4439687867585589E-3</c:v>
                </c:pt>
                <c:pt idx="36">
                  <c:v>5.3845599562340639E-3</c:v>
                </c:pt>
                <c:pt idx="37">
                  <c:v>5.3282610788725638E-3</c:v>
                </c:pt>
                <c:pt idx="38">
                  <c:v>5.275072154674057E-3</c:v>
                </c:pt>
                <c:pt idx="39">
                  <c:v>5.2249931836385382E-3</c:v>
                </c:pt>
                <c:pt idx="40">
                  <c:v>5.1780241657660058E-3</c:v>
                </c:pt>
                <c:pt idx="41">
                  <c:v>5.1341651010564683E-3</c:v>
                </c:pt>
                <c:pt idx="42">
                  <c:v>5.0934159895099241E-3</c:v>
                </c:pt>
                <c:pt idx="43">
                  <c:v>5.0557768311263749E-3</c:v>
                </c:pt>
                <c:pt idx="44">
                  <c:v>5.0212476259058119E-3</c:v>
                </c:pt>
                <c:pt idx="45">
                  <c:v>4.989828373848244E-3</c:v>
                </c:pt>
                <c:pt idx="46">
                  <c:v>4.9615190749536624E-3</c:v>
                </c:pt>
                <c:pt idx="47">
                  <c:v>4.9363197292220757E-3</c:v>
                </c:pt>
                <c:pt idx="48">
                  <c:v>4.9142303366534832E-3</c:v>
                </c:pt>
                <c:pt idx="49">
                  <c:v>4.895250897247877E-3</c:v>
                </c:pt>
                <c:pt idx="50">
                  <c:v>4.8793814110052579E-3</c:v>
                </c:pt>
                <c:pt idx="51">
                  <c:v>4.8666218779256408E-3</c:v>
                </c:pt>
                <c:pt idx="52">
                  <c:v>4.8569722980090109E-3</c:v>
                </c:pt>
                <c:pt idx="53">
                  <c:v>4.8504326712553673E-3</c:v>
                </c:pt>
                <c:pt idx="54">
                  <c:v>4.8470029976647178E-3</c:v>
                </c:pt>
                <c:pt idx="55">
                  <c:v>4.8466832772370702E-3</c:v>
                </c:pt>
                <c:pt idx="56">
                  <c:v>4.849473509972402E-3</c:v>
                </c:pt>
                <c:pt idx="57">
                  <c:v>4.8553736958707287E-3</c:v>
                </c:pt>
                <c:pt idx="58">
                  <c:v>4.8643838349320418E-3</c:v>
                </c:pt>
                <c:pt idx="59">
                  <c:v>4.8765039271563568E-3</c:v>
                </c:pt>
                <c:pt idx="60">
                  <c:v>4.8917339725436521E-3</c:v>
                </c:pt>
                <c:pt idx="61">
                  <c:v>4.9100739710939475E-3</c:v>
                </c:pt>
                <c:pt idx="62">
                  <c:v>4.9315239228072232E-3</c:v>
                </c:pt>
                <c:pt idx="63">
                  <c:v>4.9560838276835077E-3</c:v>
                </c:pt>
                <c:pt idx="64">
                  <c:v>4.9837536857227725E-3</c:v>
                </c:pt>
                <c:pt idx="65">
                  <c:v>5.0145334969250235E-3</c:v>
                </c:pt>
                <c:pt idx="66">
                  <c:v>5.0484232612902757E-3</c:v>
                </c:pt>
                <c:pt idx="67">
                  <c:v>5.085422978818515E-3</c:v>
                </c:pt>
                <c:pt idx="68">
                  <c:v>5.1255326495097493E-3</c:v>
                </c:pt>
                <c:pt idx="69">
                  <c:v>5.1687522733639708E-3</c:v>
                </c:pt>
                <c:pt idx="70">
                  <c:v>5.2150818503811855E-3</c:v>
                </c:pt>
                <c:pt idx="71">
                  <c:v>5.2645213805613874E-3</c:v>
                </c:pt>
                <c:pt idx="72">
                  <c:v>5.3170708639045852E-3</c:v>
                </c:pt>
                <c:pt idx="73">
                  <c:v>5.3727303004107753E-3</c:v>
                </c:pt>
                <c:pt idx="74">
                  <c:v>5.4314996900799465E-3</c:v>
                </c:pt>
                <c:pt idx="75">
                  <c:v>5.4933790329121249E-3</c:v>
                </c:pt>
                <c:pt idx="76">
                  <c:v>5.5583683289072844E-3</c:v>
                </c:pt>
                <c:pt idx="77">
                  <c:v>5.6264675780654371E-3</c:v>
                </c:pt>
                <c:pt idx="78">
                  <c:v>5.697676780386584E-3</c:v>
                </c:pt>
                <c:pt idx="79">
                  <c:v>5.7719959358707258E-3</c:v>
                </c:pt>
                <c:pt idx="80">
                  <c:v>5.8494250445178479E-3</c:v>
                </c:pt>
              </c:numCache>
            </c:numRef>
          </c:val>
          <c:extLst>
            <c:ext xmlns:c16="http://schemas.microsoft.com/office/drawing/2014/chart" uri="{C3380CC4-5D6E-409C-BE32-E72D297353CC}">
              <c16:uniqueId val="{00000028-A84F-4AFF-90AD-1264CB609548}"/>
            </c:ext>
          </c:extLst>
        </c:ser>
        <c:ser>
          <c:idx val="41"/>
          <c:order val="41"/>
          <c:tx>
            <c:strRef>
              <c:f>Interpolation!$S$44</c:f>
              <c:strCache>
                <c:ptCount val="1"/>
                <c:pt idx="0">
                  <c:v>34.1</c:v>
                </c:pt>
              </c:strCache>
            </c:strRef>
          </c:tx>
          <c:spPr>
            <a:solidFill>
              <a:schemeClr val="accent6">
                <a:lumMod val="70000"/>
                <a:lumOff val="3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Interpolation!$T$44:$CV$44</c:f>
              <c:numCache>
                <c:formatCode>General</c:formatCode>
                <c:ptCount val="81"/>
                <c:pt idx="0">
                  <c:v>9.4752937812326819E-3</c:v>
                </c:pt>
                <c:pt idx="1">
                  <c:v>9.3069413594207562E-3</c:v>
                </c:pt>
                <c:pt idx="2">
                  <c:v>9.1416988907718263E-3</c:v>
                </c:pt>
                <c:pt idx="3">
                  <c:v>8.9795663752858888E-3</c:v>
                </c:pt>
                <c:pt idx="4">
                  <c:v>8.8205438129629471E-3</c:v>
                </c:pt>
                <c:pt idx="5">
                  <c:v>8.6646312038029857E-3</c:v>
                </c:pt>
                <c:pt idx="6">
                  <c:v>8.5118285478060166E-3</c:v>
                </c:pt>
                <c:pt idx="7">
                  <c:v>8.3621358449720296E-3</c:v>
                </c:pt>
                <c:pt idx="8">
                  <c:v>8.2155530953010487E-3</c:v>
                </c:pt>
                <c:pt idx="9">
                  <c:v>8.0720802987930638E-3</c:v>
                </c:pt>
                <c:pt idx="10">
                  <c:v>7.9317174554480573E-3</c:v>
                </c:pt>
                <c:pt idx="11">
                  <c:v>7.7944645652660467E-3</c:v>
                </c:pt>
                <c:pt idx="12">
                  <c:v>7.6603216282470294E-3</c:v>
                </c:pt>
                <c:pt idx="13">
                  <c:v>7.5292886443910061E-3</c:v>
                </c:pt>
                <c:pt idx="14">
                  <c:v>7.4013656136979631E-3</c:v>
                </c:pt>
                <c:pt idx="15">
                  <c:v>7.2765525361679212E-3</c:v>
                </c:pt>
                <c:pt idx="16">
                  <c:v>7.1548494118008673E-3</c:v>
                </c:pt>
                <c:pt idx="17">
                  <c:v>7.0362562405967988E-3</c:v>
                </c:pt>
                <c:pt idx="18">
                  <c:v>6.9207730225557332E-3</c:v>
                </c:pt>
                <c:pt idx="19">
                  <c:v>6.8083997576776538E-3</c:v>
                </c:pt>
                <c:pt idx="20">
                  <c:v>6.6991364459625617E-3</c:v>
                </c:pt>
                <c:pt idx="21">
                  <c:v>6.5929830874104705E-3</c:v>
                </c:pt>
                <c:pt idx="22">
                  <c:v>6.4899396820213666E-3</c:v>
                </c:pt>
                <c:pt idx="23">
                  <c:v>6.3900062297952498E-3</c:v>
                </c:pt>
                <c:pt idx="24">
                  <c:v>6.2931827307321272E-3</c:v>
                </c:pt>
                <c:pt idx="25">
                  <c:v>6.1994691848319926E-3</c:v>
                </c:pt>
                <c:pt idx="26">
                  <c:v>6.1088655920948582E-3</c:v>
                </c:pt>
                <c:pt idx="27">
                  <c:v>6.0213719525207109E-3</c:v>
                </c:pt>
                <c:pt idx="28">
                  <c:v>5.9369882661095509E-3</c:v>
                </c:pt>
                <c:pt idx="29">
                  <c:v>5.8557145328613849E-3</c:v>
                </c:pt>
                <c:pt idx="30">
                  <c:v>5.7775507527762131E-3</c:v>
                </c:pt>
                <c:pt idx="31">
                  <c:v>5.7024969258540293E-3</c:v>
                </c:pt>
                <c:pt idx="32">
                  <c:v>5.6305530520948388E-3</c:v>
                </c:pt>
                <c:pt idx="33">
                  <c:v>5.5617191314986355E-3</c:v>
                </c:pt>
                <c:pt idx="34">
                  <c:v>5.4959951640654262E-3</c:v>
                </c:pt>
                <c:pt idx="35">
                  <c:v>5.4333811497952111E-3</c:v>
                </c:pt>
                <c:pt idx="36">
                  <c:v>5.3738770886879832E-3</c:v>
                </c:pt>
                <c:pt idx="37">
                  <c:v>5.3174829807437493E-3</c:v>
                </c:pt>
                <c:pt idx="38">
                  <c:v>5.2641988259625096E-3</c:v>
                </c:pt>
                <c:pt idx="39">
                  <c:v>5.214024624344258E-3</c:v>
                </c:pt>
                <c:pt idx="40">
                  <c:v>5.1669603758889926E-3</c:v>
                </c:pt>
                <c:pt idx="41">
                  <c:v>5.1230060805967214E-3</c:v>
                </c:pt>
                <c:pt idx="42">
                  <c:v>5.0821617384674443E-3</c:v>
                </c:pt>
                <c:pt idx="43">
                  <c:v>5.0444273495011613E-3</c:v>
                </c:pt>
                <c:pt idx="44">
                  <c:v>5.0098029136978655E-3</c:v>
                </c:pt>
                <c:pt idx="45">
                  <c:v>4.9782884310575638E-3</c:v>
                </c:pt>
                <c:pt idx="46">
                  <c:v>4.9498839015802492E-3</c:v>
                </c:pt>
                <c:pt idx="47">
                  <c:v>4.9245893252659297E-3</c:v>
                </c:pt>
                <c:pt idx="48">
                  <c:v>4.9024047021146034E-3</c:v>
                </c:pt>
                <c:pt idx="49">
                  <c:v>4.8833300321262643E-3</c:v>
                </c:pt>
                <c:pt idx="50">
                  <c:v>4.8673653153009123E-3</c:v>
                </c:pt>
                <c:pt idx="51">
                  <c:v>4.8545105516385623E-3</c:v>
                </c:pt>
                <c:pt idx="52">
                  <c:v>4.8447657411391978E-3</c:v>
                </c:pt>
                <c:pt idx="53">
                  <c:v>4.8381308838028221E-3</c:v>
                </c:pt>
                <c:pt idx="54">
                  <c:v>4.8346059796294388E-3</c:v>
                </c:pt>
                <c:pt idx="55">
                  <c:v>4.8341910286190583E-3</c:v>
                </c:pt>
                <c:pt idx="56">
                  <c:v>4.8368860307716564E-3</c:v>
                </c:pt>
                <c:pt idx="57">
                  <c:v>4.8426909860872502E-3</c:v>
                </c:pt>
                <c:pt idx="58">
                  <c:v>4.8516058945658304E-3</c:v>
                </c:pt>
                <c:pt idx="59">
                  <c:v>4.8636307562074117E-3</c:v>
                </c:pt>
                <c:pt idx="60">
                  <c:v>4.878765571011974E-3</c:v>
                </c:pt>
                <c:pt idx="61">
                  <c:v>4.8970103389795365E-3</c:v>
                </c:pt>
                <c:pt idx="62">
                  <c:v>4.9183650601100793E-3</c:v>
                </c:pt>
                <c:pt idx="63">
                  <c:v>4.9428297344036301E-3</c:v>
                </c:pt>
                <c:pt idx="64">
                  <c:v>4.9704043618601611E-3</c:v>
                </c:pt>
                <c:pt idx="65">
                  <c:v>5.0010889424796793E-3</c:v>
                </c:pt>
                <c:pt idx="66">
                  <c:v>5.0348834762621985E-3</c:v>
                </c:pt>
                <c:pt idx="67">
                  <c:v>5.0717879632077049E-3</c:v>
                </c:pt>
                <c:pt idx="68">
                  <c:v>5.1118024033162054E-3</c:v>
                </c:pt>
                <c:pt idx="69">
                  <c:v>5.154926796587694E-3</c:v>
                </c:pt>
                <c:pt idx="70">
                  <c:v>5.201161143022175E-3</c:v>
                </c:pt>
                <c:pt idx="71">
                  <c:v>5.2505054426196449E-3</c:v>
                </c:pt>
                <c:pt idx="72">
                  <c:v>5.3029596953801088E-3</c:v>
                </c:pt>
                <c:pt idx="73">
                  <c:v>5.3585239013035652E-3</c:v>
                </c:pt>
                <c:pt idx="74">
                  <c:v>5.4171980603900036E-3</c:v>
                </c:pt>
                <c:pt idx="75">
                  <c:v>5.4789821726394482E-3</c:v>
                </c:pt>
                <c:pt idx="76">
                  <c:v>5.5438762380518748E-3</c:v>
                </c:pt>
                <c:pt idx="77">
                  <c:v>5.6118802566272937E-3</c:v>
                </c:pt>
                <c:pt idx="78">
                  <c:v>5.6829942283657085E-3</c:v>
                </c:pt>
                <c:pt idx="79">
                  <c:v>5.7572181532671166E-3</c:v>
                </c:pt>
                <c:pt idx="80">
                  <c:v>5.8345520313315049E-3</c:v>
                </c:pt>
              </c:numCache>
            </c:numRef>
          </c:val>
          <c:extLst>
            <c:ext xmlns:c16="http://schemas.microsoft.com/office/drawing/2014/chart" uri="{C3380CC4-5D6E-409C-BE32-E72D297353CC}">
              <c16:uniqueId val="{00000029-A84F-4AFF-90AD-1264CB609548}"/>
            </c:ext>
          </c:extLst>
        </c:ser>
        <c:ser>
          <c:idx val="42"/>
          <c:order val="42"/>
          <c:tx>
            <c:strRef>
              <c:f>Interpolation!$S$45</c:f>
              <c:strCache>
                <c:ptCount val="1"/>
                <c:pt idx="0">
                  <c:v>34.2</c:v>
                </c:pt>
              </c:strCache>
            </c:strRef>
          </c:tx>
          <c:spPr>
            <a:solidFill>
              <a:schemeClr val="accent1">
                <a:lumMod val="7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Interpolation!$T$45:$CV$45</c:f>
              <c:numCache>
                <c:formatCode>General</c:formatCode>
                <c:ptCount val="81"/>
                <c:pt idx="0">
                  <c:v>9.468939668391815E-3</c:v>
                </c:pt>
                <c:pt idx="1">
                  <c:v>9.3004920159971572E-3</c:v>
                </c:pt>
                <c:pt idx="2">
                  <c:v>9.1351543167654935E-3</c:v>
                </c:pt>
                <c:pt idx="3">
                  <c:v>8.9729265706968223E-3</c:v>
                </c:pt>
                <c:pt idx="4">
                  <c:v>8.8138087777911468E-3</c:v>
                </c:pt>
                <c:pt idx="5">
                  <c:v>8.6578009380484516E-3</c:v>
                </c:pt>
                <c:pt idx="6">
                  <c:v>8.5049030514687506E-3</c:v>
                </c:pt>
                <c:pt idx="7">
                  <c:v>8.3551151180520297E-3</c:v>
                </c:pt>
                <c:pt idx="8">
                  <c:v>8.2084371377983169E-3</c:v>
                </c:pt>
                <c:pt idx="9">
                  <c:v>8.0648691107075982E-3</c:v>
                </c:pt>
                <c:pt idx="10">
                  <c:v>7.9244110367798597E-3</c:v>
                </c:pt>
                <c:pt idx="11">
                  <c:v>7.7870629160151144E-3</c:v>
                </c:pt>
                <c:pt idx="12">
                  <c:v>7.6528247484133642E-3</c:v>
                </c:pt>
                <c:pt idx="13">
                  <c:v>7.5216965339746072E-3</c:v>
                </c:pt>
                <c:pt idx="14">
                  <c:v>7.3936782726988313E-3</c:v>
                </c:pt>
                <c:pt idx="15">
                  <c:v>7.2687699645860564E-3</c:v>
                </c:pt>
                <c:pt idx="16">
                  <c:v>7.1469716096362688E-3</c:v>
                </c:pt>
                <c:pt idx="17">
                  <c:v>7.0282832078494683E-3</c:v>
                </c:pt>
                <c:pt idx="18">
                  <c:v>6.912704759225668E-3</c:v>
                </c:pt>
                <c:pt idx="19">
                  <c:v>6.8002362637648557E-3</c:v>
                </c:pt>
                <c:pt idx="20">
                  <c:v>6.6908777214670307E-3</c:v>
                </c:pt>
                <c:pt idx="21">
                  <c:v>6.5846291323322067E-3</c:v>
                </c:pt>
                <c:pt idx="22">
                  <c:v>6.4814904963603689E-3</c:v>
                </c:pt>
                <c:pt idx="23">
                  <c:v>6.3814618135515193E-3</c:v>
                </c:pt>
                <c:pt idx="24">
                  <c:v>6.2845430839056637E-3</c:v>
                </c:pt>
                <c:pt idx="25">
                  <c:v>6.1907343074227954E-3</c:v>
                </c:pt>
                <c:pt idx="26">
                  <c:v>6.1000354841029281E-3</c:v>
                </c:pt>
                <c:pt idx="27">
                  <c:v>6.0124466139460479E-3</c:v>
                </c:pt>
                <c:pt idx="28">
                  <c:v>5.9279676969521541E-3</c:v>
                </c:pt>
                <c:pt idx="29">
                  <c:v>5.8465987331212553E-3</c:v>
                </c:pt>
                <c:pt idx="30">
                  <c:v>5.7683397224533497E-3</c:v>
                </c:pt>
                <c:pt idx="31">
                  <c:v>5.6931906649484321E-3</c:v>
                </c:pt>
                <c:pt idx="32">
                  <c:v>5.6211515606065087E-3</c:v>
                </c:pt>
                <c:pt idx="33">
                  <c:v>5.5522224094275725E-3</c:v>
                </c:pt>
                <c:pt idx="34">
                  <c:v>5.4864032114116303E-3</c:v>
                </c:pt>
                <c:pt idx="35">
                  <c:v>5.4236939665586814E-3</c:v>
                </c:pt>
                <c:pt idx="36">
                  <c:v>5.3640946748687206E-3</c:v>
                </c:pt>
                <c:pt idx="37">
                  <c:v>5.3076053363417539E-3</c:v>
                </c:pt>
                <c:pt idx="38">
                  <c:v>5.2542259509777813E-3</c:v>
                </c:pt>
                <c:pt idx="39">
                  <c:v>5.203956518776795E-3</c:v>
                </c:pt>
                <c:pt idx="40">
                  <c:v>5.1567970397387967E-3</c:v>
                </c:pt>
                <c:pt idx="41">
                  <c:v>5.1127475138637926E-3</c:v>
                </c:pt>
                <c:pt idx="42">
                  <c:v>5.0718079411517826E-3</c:v>
                </c:pt>
                <c:pt idx="43">
                  <c:v>5.0339783216027667E-3</c:v>
                </c:pt>
                <c:pt idx="44">
                  <c:v>4.9992586552167371E-3</c:v>
                </c:pt>
                <c:pt idx="45">
                  <c:v>4.9676489419937025E-3</c:v>
                </c:pt>
                <c:pt idx="46">
                  <c:v>4.9391491819336542E-3</c:v>
                </c:pt>
                <c:pt idx="47">
                  <c:v>4.9137593750366018E-3</c:v>
                </c:pt>
                <c:pt idx="48">
                  <c:v>4.8914795213025417E-3</c:v>
                </c:pt>
                <c:pt idx="49">
                  <c:v>4.8723096207314697E-3</c:v>
                </c:pt>
                <c:pt idx="50">
                  <c:v>4.8562496733233849E-3</c:v>
                </c:pt>
                <c:pt idx="51">
                  <c:v>4.8432996790783011E-3</c:v>
                </c:pt>
                <c:pt idx="52">
                  <c:v>4.8334596379962045E-3</c:v>
                </c:pt>
                <c:pt idx="53">
                  <c:v>4.8267295500770942E-3</c:v>
                </c:pt>
                <c:pt idx="54">
                  <c:v>4.8231094153209789E-3</c:v>
                </c:pt>
                <c:pt idx="55">
                  <c:v>4.8225992337278646E-3</c:v>
                </c:pt>
                <c:pt idx="56">
                  <c:v>4.8251990052977298E-3</c:v>
                </c:pt>
                <c:pt idx="57">
                  <c:v>4.8309087300305899E-3</c:v>
                </c:pt>
                <c:pt idx="58">
                  <c:v>4.8397284079264372E-3</c:v>
                </c:pt>
                <c:pt idx="59">
                  <c:v>4.8516580389852855E-3</c:v>
                </c:pt>
                <c:pt idx="60">
                  <c:v>4.8666976232071141E-3</c:v>
                </c:pt>
                <c:pt idx="61">
                  <c:v>4.8848471605919437E-3</c:v>
                </c:pt>
                <c:pt idx="62">
                  <c:v>4.9061066511397536E-3</c:v>
                </c:pt>
                <c:pt idx="63">
                  <c:v>4.9304760948505706E-3</c:v>
                </c:pt>
                <c:pt idx="64">
                  <c:v>4.9579554917243687E-3</c:v>
                </c:pt>
                <c:pt idx="65">
                  <c:v>4.9885448417611531E-3</c:v>
                </c:pt>
                <c:pt idx="66">
                  <c:v>5.0222441449609394E-3</c:v>
                </c:pt>
                <c:pt idx="67">
                  <c:v>5.059053401323713E-3</c:v>
                </c:pt>
                <c:pt idx="68">
                  <c:v>5.0989726108494806E-3</c:v>
                </c:pt>
                <c:pt idx="69">
                  <c:v>5.1420017735382345E-3</c:v>
                </c:pt>
                <c:pt idx="70">
                  <c:v>5.1881408893899835E-3</c:v>
                </c:pt>
                <c:pt idx="71">
                  <c:v>5.2373899584047187E-3</c:v>
                </c:pt>
                <c:pt idx="72">
                  <c:v>5.2897489805824498E-3</c:v>
                </c:pt>
                <c:pt idx="73">
                  <c:v>5.3452179559231741E-3</c:v>
                </c:pt>
                <c:pt idx="74">
                  <c:v>5.4037968844268779E-3</c:v>
                </c:pt>
                <c:pt idx="75">
                  <c:v>5.4654857660935904E-3</c:v>
                </c:pt>
                <c:pt idx="76">
                  <c:v>5.5302846009232833E-3</c:v>
                </c:pt>
                <c:pt idx="77">
                  <c:v>5.5981933889159702E-3</c:v>
                </c:pt>
                <c:pt idx="78">
                  <c:v>5.6692121300716504E-3</c:v>
                </c:pt>
                <c:pt idx="79">
                  <c:v>5.7433408243903255E-3</c:v>
                </c:pt>
                <c:pt idx="80">
                  <c:v>5.8205794718719801E-3</c:v>
                </c:pt>
              </c:numCache>
            </c:numRef>
          </c:val>
          <c:extLst>
            <c:ext xmlns:c16="http://schemas.microsoft.com/office/drawing/2014/chart" uri="{C3380CC4-5D6E-409C-BE32-E72D297353CC}">
              <c16:uniqueId val="{0000002A-A84F-4AFF-90AD-1264CB609548}"/>
            </c:ext>
          </c:extLst>
        </c:ser>
        <c:ser>
          <c:idx val="43"/>
          <c:order val="43"/>
          <c:tx>
            <c:strRef>
              <c:f>Interpolation!$S$46</c:f>
              <c:strCache>
                <c:ptCount val="1"/>
                <c:pt idx="0">
                  <c:v>34.3</c:v>
                </c:pt>
              </c:strCache>
            </c:strRef>
          </c:tx>
          <c:spPr>
            <a:solidFill>
              <a:schemeClr val="accent2">
                <a:lumMod val="7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Interpolation!$T$46:$CV$46</c:f>
              <c:numCache>
                <c:formatCode>General</c:formatCode>
                <c:ptCount val="81"/>
                <c:pt idx="0">
                  <c:v>9.4634860092777662E-3</c:v>
                </c:pt>
                <c:pt idx="1">
                  <c:v>9.2949431263003746E-3</c:v>
                </c:pt>
                <c:pt idx="2">
                  <c:v>9.1295101964859772E-3</c:v>
                </c:pt>
                <c:pt idx="3">
                  <c:v>8.9671872198345756E-3</c:v>
                </c:pt>
                <c:pt idx="4">
                  <c:v>8.8079741963461664E-3</c:v>
                </c:pt>
                <c:pt idx="5">
                  <c:v>8.6518711260207375E-3</c:v>
                </c:pt>
                <c:pt idx="6">
                  <c:v>8.4988780088583026E-3</c:v>
                </c:pt>
                <c:pt idx="7">
                  <c:v>8.348994844858848E-3</c:v>
                </c:pt>
                <c:pt idx="8">
                  <c:v>8.2022216340224031E-3</c:v>
                </c:pt>
                <c:pt idx="9">
                  <c:v>8.0585583763489507E-3</c:v>
                </c:pt>
                <c:pt idx="10">
                  <c:v>7.9180050718384784E-3</c:v>
                </c:pt>
                <c:pt idx="11">
                  <c:v>7.7805617204910003E-3</c:v>
                </c:pt>
                <c:pt idx="12">
                  <c:v>7.6462283223065171E-3</c:v>
                </c:pt>
                <c:pt idx="13">
                  <c:v>7.5150048772850272E-3</c:v>
                </c:pt>
                <c:pt idx="14">
                  <c:v>7.3868913854265184E-3</c:v>
                </c:pt>
                <c:pt idx="15">
                  <c:v>7.2618878467310098E-3</c:v>
                </c:pt>
                <c:pt idx="16">
                  <c:v>7.1399942611984884E-3</c:v>
                </c:pt>
                <c:pt idx="17">
                  <c:v>7.021210628828955E-3</c:v>
                </c:pt>
                <c:pt idx="18">
                  <c:v>6.9055369496224218E-3</c:v>
                </c:pt>
                <c:pt idx="19">
                  <c:v>6.7929732235788767E-3</c:v>
                </c:pt>
                <c:pt idx="20">
                  <c:v>6.6835194506983178E-3</c:v>
                </c:pt>
                <c:pt idx="21">
                  <c:v>6.57717563098076E-3</c:v>
                </c:pt>
                <c:pt idx="22">
                  <c:v>6.4739417644261903E-3</c:v>
                </c:pt>
                <c:pt idx="23">
                  <c:v>6.3738178510346069E-3</c:v>
                </c:pt>
                <c:pt idx="24">
                  <c:v>6.2768038908060184E-3</c:v>
                </c:pt>
                <c:pt idx="25">
                  <c:v>6.1828998837404163E-3</c:v>
                </c:pt>
                <c:pt idx="26">
                  <c:v>6.0921058298378152E-3</c:v>
                </c:pt>
                <c:pt idx="27">
                  <c:v>6.0044217290982022E-3</c:v>
                </c:pt>
                <c:pt idx="28">
                  <c:v>5.9198475815215755E-3</c:v>
                </c:pt>
                <c:pt idx="29">
                  <c:v>5.8383833871079437E-3</c:v>
                </c:pt>
                <c:pt idx="30">
                  <c:v>5.7600291458573052E-3</c:v>
                </c:pt>
                <c:pt idx="31">
                  <c:v>5.6847848577696548E-3</c:v>
                </c:pt>
                <c:pt idx="32">
                  <c:v>5.6126505228449976E-3</c:v>
                </c:pt>
                <c:pt idx="33">
                  <c:v>5.5436261410833276E-3</c:v>
                </c:pt>
                <c:pt idx="34">
                  <c:v>5.4777117124846526E-3</c:v>
                </c:pt>
                <c:pt idx="35">
                  <c:v>5.4149072370489708E-3</c:v>
                </c:pt>
                <c:pt idx="36">
                  <c:v>5.3552127147762762E-3</c:v>
                </c:pt>
                <c:pt idx="37">
                  <c:v>5.2986281456665766E-3</c:v>
                </c:pt>
                <c:pt idx="38">
                  <c:v>5.2451535297198702E-3</c:v>
                </c:pt>
                <c:pt idx="39">
                  <c:v>5.1947888669361519E-3</c:v>
                </c:pt>
                <c:pt idx="40">
                  <c:v>5.1475341573154199E-3</c:v>
                </c:pt>
                <c:pt idx="41">
                  <c:v>5.103389400857682E-3</c:v>
                </c:pt>
                <c:pt idx="42">
                  <c:v>5.062354597562939E-3</c:v>
                </c:pt>
                <c:pt idx="43">
                  <c:v>5.0244297474311894E-3</c:v>
                </c:pt>
                <c:pt idx="44">
                  <c:v>4.9896148504624278E-3</c:v>
                </c:pt>
                <c:pt idx="45">
                  <c:v>4.9579099066566594E-3</c:v>
                </c:pt>
                <c:pt idx="46">
                  <c:v>4.9293149160138782E-3</c:v>
                </c:pt>
                <c:pt idx="47">
                  <c:v>4.903829878534092E-3</c:v>
                </c:pt>
                <c:pt idx="48">
                  <c:v>4.8814547942172999E-3</c:v>
                </c:pt>
                <c:pt idx="49">
                  <c:v>4.8621896630634941E-3</c:v>
                </c:pt>
                <c:pt idx="50">
                  <c:v>4.8460344850726755E-3</c:v>
                </c:pt>
                <c:pt idx="51">
                  <c:v>4.832989260244858E-3</c:v>
                </c:pt>
                <c:pt idx="52">
                  <c:v>4.8230539885800285E-3</c:v>
                </c:pt>
                <c:pt idx="53">
                  <c:v>4.8162286700781853E-3</c:v>
                </c:pt>
                <c:pt idx="54">
                  <c:v>4.8125133047393371E-3</c:v>
                </c:pt>
                <c:pt idx="55">
                  <c:v>4.8119078925634891E-3</c:v>
                </c:pt>
                <c:pt idx="56">
                  <c:v>4.8144124335506213E-3</c:v>
                </c:pt>
                <c:pt idx="57">
                  <c:v>4.8200269277007476E-3</c:v>
                </c:pt>
                <c:pt idx="58">
                  <c:v>4.828751375013862E-3</c:v>
                </c:pt>
                <c:pt idx="59">
                  <c:v>4.8405857754899775E-3</c:v>
                </c:pt>
                <c:pt idx="60">
                  <c:v>4.8555301291290723E-3</c:v>
                </c:pt>
                <c:pt idx="61">
                  <c:v>4.873584435931169E-3</c:v>
                </c:pt>
                <c:pt idx="62">
                  <c:v>4.8947486958962451E-3</c:v>
                </c:pt>
                <c:pt idx="63">
                  <c:v>4.9190229090243301E-3</c:v>
                </c:pt>
                <c:pt idx="64">
                  <c:v>4.9464070753153944E-3</c:v>
                </c:pt>
                <c:pt idx="65">
                  <c:v>4.976901194769446E-3</c:v>
                </c:pt>
                <c:pt idx="66">
                  <c:v>5.0105052673864985E-3</c:v>
                </c:pt>
                <c:pt idx="67">
                  <c:v>5.0472192931665383E-3</c:v>
                </c:pt>
                <c:pt idx="68">
                  <c:v>5.087043272109573E-3</c:v>
                </c:pt>
                <c:pt idx="69">
                  <c:v>5.1299772042155949E-3</c:v>
                </c:pt>
                <c:pt idx="70">
                  <c:v>5.1760210894846101E-3</c:v>
                </c:pt>
                <c:pt idx="71">
                  <c:v>5.2251749279166124E-3</c:v>
                </c:pt>
                <c:pt idx="72">
                  <c:v>5.2774387195116106E-3</c:v>
                </c:pt>
                <c:pt idx="73">
                  <c:v>5.3328124642696012E-3</c:v>
                </c:pt>
                <c:pt idx="74">
                  <c:v>5.391296162190572E-3</c:v>
                </c:pt>
                <c:pt idx="75">
                  <c:v>5.4528898132745508E-3</c:v>
                </c:pt>
                <c:pt idx="76">
                  <c:v>5.5175934175215099E-3</c:v>
                </c:pt>
                <c:pt idx="77">
                  <c:v>5.5854069749314639E-3</c:v>
                </c:pt>
                <c:pt idx="78">
                  <c:v>5.6563304855044112E-3</c:v>
                </c:pt>
                <c:pt idx="79">
                  <c:v>5.7303639492403535E-3</c:v>
                </c:pt>
                <c:pt idx="80">
                  <c:v>5.8075073661392751E-3</c:v>
                </c:pt>
              </c:numCache>
            </c:numRef>
          </c:val>
          <c:extLst>
            <c:ext xmlns:c16="http://schemas.microsoft.com/office/drawing/2014/chart" uri="{C3380CC4-5D6E-409C-BE32-E72D297353CC}">
              <c16:uniqueId val="{0000002B-A84F-4AFF-90AD-1264CB609548}"/>
            </c:ext>
          </c:extLst>
        </c:ser>
        <c:ser>
          <c:idx val="44"/>
          <c:order val="44"/>
          <c:tx>
            <c:strRef>
              <c:f>Interpolation!$S$47</c:f>
              <c:strCache>
                <c:ptCount val="1"/>
                <c:pt idx="0">
                  <c:v>34.4</c:v>
                </c:pt>
              </c:strCache>
            </c:strRef>
          </c:tx>
          <c:spPr>
            <a:solidFill>
              <a:schemeClr val="accent3">
                <a:lumMod val="7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Interpolation!$T$47:$CV$47</c:f>
              <c:numCache>
                <c:formatCode>General</c:formatCode>
                <c:ptCount val="81"/>
                <c:pt idx="0">
                  <c:v>9.4589328038905355E-3</c:v>
                </c:pt>
                <c:pt idx="1">
                  <c:v>9.2902946903304119E-3</c:v>
                </c:pt>
                <c:pt idx="2">
                  <c:v>9.1247665299332807E-3</c:v>
                </c:pt>
                <c:pt idx="3">
                  <c:v>8.9623483226991454E-3</c:v>
                </c:pt>
                <c:pt idx="4">
                  <c:v>8.8030400686280024E-3</c:v>
                </c:pt>
                <c:pt idx="5">
                  <c:v>8.6468417677198414E-3</c:v>
                </c:pt>
                <c:pt idx="6">
                  <c:v>8.4937534199746728E-3</c:v>
                </c:pt>
                <c:pt idx="7">
                  <c:v>8.3437750253924862E-3</c:v>
                </c:pt>
                <c:pt idx="8">
                  <c:v>8.1969065839733058E-3</c:v>
                </c:pt>
                <c:pt idx="9">
                  <c:v>8.0531480957171213E-3</c:v>
                </c:pt>
                <c:pt idx="10">
                  <c:v>7.9124995606239153E-3</c:v>
                </c:pt>
                <c:pt idx="11">
                  <c:v>7.7749609786937051E-3</c:v>
                </c:pt>
                <c:pt idx="12">
                  <c:v>7.6405323499264882E-3</c:v>
                </c:pt>
                <c:pt idx="13">
                  <c:v>7.5092136743222654E-3</c:v>
                </c:pt>
                <c:pt idx="14">
                  <c:v>7.3810049518810228E-3</c:v>
                </c:pt>
                <c:pt idx="15">
                  <c:v>7.2559061826027813E-3</c:v>
                </c:pt>
                <c:pt idx="16">
                  <c:v>7.133917366487527E-3</c:v>
                </c:pt>
                <c:pt idx="17">
                  <c:v>7.0150385035352598E-3</c:v>
                </c:pt>
                <c:pt idx="18">
                  <c:v>6.8992695937459938E-3</c:v>
                </c:pt>
                <c:pt idx="19">
                  <c:v>6.7866106371197148E-3</c:v>
                </c:pt>
                <c:pt idx="20">
                  <c:v>6.6770616336564231E-3</c:v>
                </c:pt>
                <c:pt idx="21">
                  <c:v>6.5706225833561324E-3</c:v>
                </c:pt>
                <c:pt idx="22">
                  <c:v>6.4672934862188289E-3</c:v>
                </c:pt>
                <c:pt idx="23">
                  <c:v>6.3670743422445126E-3</c:v>
                </c:pt>
                <c:pt idx="24">
                  <c:v>6.2699651514331904E-3</c:v>
                </c:pt>
                <c:pt idx="25">
                  <c:v>6.1759659137848553E-3</c:v>
                </c:pt>
                <c:pt idx="26">
                  <c:v>6.0850766292995214E-3</c:v>
                </c:pt>
                <c:pt idx="27">
                  <c:v>5.9972972979771746E-3</c:v>
                </c:pt>
                <c:pt idx="28">
                  <c:v>5.912627919817815E-3</c:v>
                </c:pt>
                <c:pt idx="29">
                  <c:v>5.8310684948214495E-3</c:v>
                </c:pt>
                <c:pt idx="30">
                  <c:v>5.7526190229880781E-3</c:v>
                </c:pt>
                <c:pt idx="31">
                  <c:v>5.6772795043176939E-3</c:v>
                </c:pt>
                <c:pt idx="32">
                  <c:v>5.6050499388103046E-3</c:v>
                </c:pt>
                <c:pt idx="33">
                  <c:v>5.5359303264659009E-3</c:v>
                </c:pt>
                <c:pt idx="34">
                  <c:v>5.4699206672844921E-3</c:v>
                </c:pt>
                <c:pt idx="35">
                  <c:v>5.4070209612660774E-3</c:v>
                </c:pt>
                <c:pt idx="36">
                  <c:v>5.3472312084106507E-3</c:v>
                </c:pt>
                <c:pt idx="37">
                  <c:v>5.2905514087182165E-3</c:v>
                </c:pt>
                <c:pt idx="38">
                  <c:v>5.2369815621887781E-3</c:v>
                </c:pt>
                <c:pt idx="39">
                  <c:v>5.1865216688223251E-3</c:v>
                </c:pt>
                <c:pt idx="40">
                  <c:v>5.1391717286188611E-3</c:v>
                </c:pt>
                <c:pt idx="41">
                  <c:v>5.0949317415783894E-3</c:v>
                </c:pt>
                <c:pt idx="42">
                  <c:v>5.0538017077009136E-3</c:v>
                </c:pt>
                <c:pt idx="43">
                  <c:v>5.0157816269864311E-3</c:v>
                </c:pt>
                <c:pt idx="44">
                  <c:v>4.9808714994349357E-3</c:v>
                </c:pt>
                <c:pt idx="45">
                  <c:v>4.9490713250464335E-3</c:v>
                </c:pt>
                <c:pt idx="46">
                  <c:v>4.9203811038209203E-3</c:v>
                </c:pt>
                <c:pt idx="47">
                  <c:v>4.8948008357584004E-3</c:v>
                </c:pt>
                <c:pt idx="48">
                  <c:v>4.8723305208588745E-3</c:v>
                </c:pt>
                <c:pt idx="49">
                  <c:v>4.8529701591223358E-3</c:v>
                </c:pt>
                <c:pt idx="50">
                  <c:v>4.8367197505487843E-3</c:v>
                </c:pt>
                <c:pt idx="51">
                  <c:v>4.8235792951382339E-3</c:v>
                </c:pt>
                <c:pt idx="52">
                  <c:v>4.8135487928906706E-3</c:v>
                </c:pt>
                <c:pt idx="53">
                  <c:v>4.8066282438060945E-3</c:v>
                </c:pt>
                <c:pt idx="54">
                  <c:v>4.8028176478845126E-3</c:v>
                </c:pt>
                <c:pt idx="55">
                  <c:v>4.8021170051259316E-3</c:v>
                </c:pt>
                <c:pt idx="56">
                  <c:v>4.804526315530331E-3</c:v>
                </c:pt>
                <c:pt idx="57">
                  <c:v>4.8100455790977244E-3</c:v>
                </c:pt>
                <c:pt idx="58">
                  <c:v>4.818674795828105E-3</c:v>
                </c:pt>
                <c:pt idx="59">
                  <c:v>4.8304139657214876E-3</c:v>
                </c:pt>
                <c:pt idx="60">
                  <c:v>4.8452630887778486E-3</c:v>
                </c:pt>
                <c:pt idx="61">
                  <c:v>4.8632221649972125E-3</c:v>
                </c:pt>
                <c:pt idx="62">
                  <c:v>4.8842911943795548E-3</c:v>
                </c:pt>
                <c:pt idx="63">
                  <c:v>4.9084701769249069E-3</c:v>
                </c:pt>
                <c:pt idx="64">
                  <c:v>4.9357591126332374E-3</c:v>
                </c:pt>
                <c:pt idx="65">
                  <c:v>4.9661580015045561E-3</c:v>
                </c:pt>
                <c:pt idx="66">
                  <c:v>4.9996668435388757E-3</c:v>
                </c:pt>
                <c:pt idx="67">
                  <c:v>5.0362856387361826E-3</c:v>
                </c:pt>
                <c:pt idx="68">
                  <c:v>5.0760143870964836E-3</c:v>
                </c:pt>
                <c:pt idx="69">
                  <c:v>5.1188530886197726E-3</c:v>
                </c:pt>
                <c:pt idx="70">
                  <c:v>5.164801743306054E-3</c:v>
                </c:pt>
                <c:pt idx="71">
                  <c:v>5.2138603511553243E-3</c:v>
                </c:pt>
                <c:pt idx="72">
                  <c:v>5.2660289121675878E-3</c:v>
                </c:pt>
                <c:pt idx="73">
                  <c:v>5.3213074263428455E-3</c:v>
                </c:pt>
                <c:pt idx="74">
                  <c:v>5.3796958936810834E-3</c:v>
                </c:pt>
                <c:pt idx="75">
                  <c:v>5.4411943141823294E-3</c:v>
                </c:pt>
                <c:pt idx="76">
                  <c:v>5.5058026878465546E-3</c:v>
                </c:pt>
                <c:pt idx="77">
                  <c:v>5.5735210146737758E-3</c:v>
                </c:pt>
                <c:pt idx="78">
                  <c:v>5.6443492946639893E-3</c:v>
                </c:pt>
                <c:pt idx="79">
                  <c:v>5.7182875278171987E-3</c:v>
                </c:pt>
                <c:pt idx="80">
                  <c:v>5.7953357141333865E-3</c:v>
                </c:pt>
              </c:numCache>
            </c:numRef>
          </c:val>
          <c:extLst>
            <c:ext xmlns:c16="http://schemas.microsoft.com/office/drawing/2014/chart" uri="{C3380CC4-5D6E-409C-BE32-E72D297353CC}">
              <c16:uniqueId val="{0000002C-A84F-4AFF-90AD-1264CB609548}"/>
            </c:ext>
          </c:extLst>
        </c:ser>
        <c:ser>
          <c:idx val="45"/>
          <c:order val="45"/>
          <c:tx>
            <c:strRef>
              <c:f>Interpolation!$S$48</c:f>
              <c:strCache>
                <c:ptCount val="1"/>
                <c:pt idx="0">
                  <c:v>34.5</c:v>
                </c:pt>
              </c:strCache>
            </c:strRef>
          </c:tx>
          <c:spPr>
            <a:solidFill>
              <a:schemeClr val="accent4">
                <a:lumMod val="7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Interpolation!$T$48:$CV$48</c:f>
              <c:numCache>
                <c:formatCode>General</c:formatCode>
                <c:ptCount val="81"/>
                <c:pt idx="0">
                  <c:v>9.4552800522301091E-3</c:v>
                </c:pt>
                <c:pt idx="1">
                  <c:v>9.2865467080872517E-3</c:v>
                </c:pt>
                <c:pt idx="2">
                  <c:v>9.1209233171073885E-3</c:v>
                </c:pt>
                <c:pt idx="3">
                  <c:v>8.9584098792905194E-3</c:v>
                </c:pt>
                <c:pt idx="4">
                  <c:v>8.7990063946366444E-3</c:v>
                </c:pt>
                <c:pt idx="5">
                  <c:v>8.6427128631457496E-3</c:v>
                </c:pt>
                <c:pt idx="6">
                  <c:v>8.4895292848178473E-3</c:v>
                </c:pt>
                <c:pt idx="7">
                  <c:v>8.3394556596529269E-3</c:v>
                </c:pt>
                <c:pt idx="8">
                  <c:v>8.1924919876510145E-3</c:v>
                </c:pt>
                <c:pt idx="9">
                  <c:v>8.0486382688120962E-3</c:v>
                </c:pt>
                <c:pt idx="10">
                  <c:v>7.9078945031361581E-3</c:v>
                </c:pt>
                <c:pt idx="11">
                  <c:v>7.7702606906232133E-3</c:v>
                </c:pt>
                <c:pt idx="12">
                  <c:v>7.6357368312732626E-3</c:v>
                </c:pt>
                <c:pt idx="13">
                  <c:v>7.5043229250863069E-3</c:v>
                </c:pt>
                <c:pt idx="14">
                  <c:v>7.3760189720623315E-3</c:v>
                </c:pt>
                <c:pt idx="15">
                  <c:v>7.2508249722013571E-3</c:v>
                </c:pt>
                <c:pt idx="16">
                  <c:v>7.128740925503369E-3</c:v>
                </c:pt>
                <c:pt idx="17">
                  <c:v>7.0097668319683689E-3</c:v>
                </c:pt>
                <c:pt idx="18">
                  <c:v>6.8939026915963691E-3</c:v>
                </c:pt>
                <c:pt idx="19">
                  <c:v>6.7811485043873573E-3</c:v>
                </c:pt>
                <c:pt idx="20">
                  <c:v>6.6715042703413326E-3</c:v>
                </c:pt>
                <c:pt idx="21">
                  <c:v>6.564969989458309E-3</c:v>
                </c:pt>
                <c:pt idx="22">
                  <c:v>6.4615456617382718E-3</c:v>
                </c:pt>
                <c:pt idx="23">
                  <c:v>6.3612312871812226E-3</c:v>
                </c:pt>
                <c:pt idx="24">
                  <c:v>6.2640268657871666E-3</c:v>
                </c:pt>
                <c:pt idx="25">
                  <c:v>6.1699323975560987E-3</c:v>
                </c:pt>
                <c:pt idx="26">
                  <c:v>6.0789478824880318E-3</c:v>
                </c:pt>
                <c:pt idx="27">
                  <c:v>5.9910733205829521E-3</c:v>
                </c:pt>
                <c:pt idx="28">
                  <c:v>5.9063087118408587E-3</c:v>
                </c:pt>
                <c:pt idx="29">
                  <c:v>5.8246540562617603E-3</c:v>
                </c:pt>
                <c:pt idx="30">
                  <c:v>5.7461093538456551E-3</c:v>
                </c:pt>
                <c:pt idx="31">
                  <c:v>5.670674604592538E-3</c:v>
                </c:pt>
                <c:pt idx="32">
                  <c:v>5.5983498085024151E-3</c:v>
                </c:pt>
                <c:pt idx="33">
                  <c:v>5.5291349655752784E-3</c:v>
                </c:pt>
                <c:pt idx="34">
                  <c:v>5.4630300758111367E-3</c:v>
                </c:pt>
                <c:pt idx="35">
                  <c:v>5.4000351392099891E-3</c:v>
                </c:pt>
                <c:pt idx="36">
                  <c:v>5.3401501557718278E-3</c:v>
                </c:pt>
                <c:pt idx="37">
                  <c:v>5.2833751254966616E-3</c:v>
                </c:pt>
                <c:pt idx="38">
                  <c:v>5.2297100483844894E-3</c:v>
                </c:pt>
                <c:pt idx="39">
                  <c:v>5.1791549244353044E-3</c:v>
                </c:pt>
                <c:pt idx="40">
                  <c:v>5.1317097536491057E-3</c:v>
                </c:pt>
                <c:pt idx="41">
                  <c:v>5.087374536025902E-3</c:v>
                </c:pt>
                <c:pt idx="42">
                  <c:v>5.0461492715656916E-3</c:v>
                </c:pt>
                <c:pt idx="43">
                  <c:v>5.0080339602684761E-3</c:v>
                </c:pt>
                <c:pt idx="44">
                  <c:v>4.9730286021342478E-3</c:v>
                </c:pt>
                <c:pt idx="45">
                  <c:v>4.9411331971630128E-3</c:v>
                </c:pt>
                <c:pt idx="46">
                  <c:v>4.9123477453547658E-3</c:v>
                </c:pt>
                <c:pt idx="47">
                  <c:v>4.886672246709513E-3</c:v>
                </c:pt>
                <c:pt idx="48">
                  <c:v>4.8641067012272533E-3</c:v>
                </c:pt>
                <c:pt idx="49">
                  <c:v>4.8446511089079818E-3</c:v>
                </c:pt>
                <c:pt idx="50">
                  <c:v>4.8283054697516974E-3</c:v>
                </c:pt>
                <c:pt idx="51">
                  <c:v>4.815069783758414E-3</c:v>
                </c:pt>
                <c:pt idx="52">
                  <c:v>4.804944050928117E-3</c:v>
                </c:pt>
                <c:pt idx="53">
                  <c:v>4.7979282712608071E-3</c:v>
                </c:pt>
                <c:pt idx="54">
                  <c:v>4.7940224447564923E-3</c:v>
                </c:pt>
                <c:pt idx="55">
                  <c:v>4.7932265714151785E-3</c:v>
                </c:pt>
                <c:pt idx="56">
                  <c:v>4.7955406512368449E-3</c:v>
                </c:pt>
                <c:pt idx="57">
                  <c:v>4.8009646842215046E-3</c:v>
                </c:pt>
                <c:pt idx="58">
                  <c:v>4.8094986703691514E-3</c:v>
                </c:pt>
                <c:pt idx="59">
                  <c:v>4.8211426096798011E-3</c:v>
                </c:pt>
                <c:pt idx="60">
                  <c:v>4.8358965021534292E-3</c:v>
                </c:pt>
                <c:pt idx="61">
                  <c:v>4.8537603477900593E-3</c:v>
                </c:pt>
                <c:pt idx="62">
                  <c:v>4.8747341465896696E-3</c:v>
                </c:pt>
                <c:pt idx="63">
                  <c:v>4.8988178985522879E-3</c:v>
                </c:pt>
                <c:pt idx="64">
                  <c:v>4.9260116036778856E-3</c:v>
                </c:pt>
                <c:pt idx="65">
                  <c:v>4.9563152619664704E-3</c:v>
                </c:pt>
                <c:pt idx="66">
                  <c:v>4.9897288734180572E-3</c:v>
                </c:pt>
                <c:pt idx="67">
                  <c:v>5.0262524380326312E-3</c:v>
                </c:pt>
                <c:pt idx="68">
                  <c:v>5.0658859558101992E-3</c:v>
                </c:pt>
                <c:pt idx="69">
                  <c:v>5.1086294267507536E-3</c:v>
                </c:pt>
                <c:pt idx="70">
                  <c:v>5.1544828508543021E-3</c:v>
                </c:pt>
                <c:pt idx="71">
                  <c:v>5.2034462281208387E-3</c:v>
                </c:pt>
                <c:pt idx="72">
                  <c:v>5.2555195585503693E-3</c:v>
                </c:pt>
                <c:pt idx="73">
                  <c:v>5.3107028421428941E-3</c:v>
                </c:pt>
                <c:pt idx="74">
                  <c:v>5.3689960788983991E-3</c:v>
                </c:pt>
                <c:pt idx="75">
                  <c:v>5.4303992688169113E-3</c:v>
                </c:pt>
                <c:pt idx="76">
                  <c:v>5.4949124118984036E-3</c:v>
                </c:pt>
                <c:pt idx="77">
                  <c:v>5.562535508142891E-3</c:v>
                </c:pt>
                <c:pt idx="78">
                  <c:v>5.6332685575503725E-3</c:v>
                </c:pt>
                <c:pt idx="79">
                  <c:v>5.7071115601208481E-3</c:v>
                </c:pt>
                <c:pt idx="80">
                  <c:v>5.7840645158543039E-3</c:v>
                </c:pt>
              </c:numCache>
            </c:numRef>
          </c:val>
          <c:extLst>
            <c:ext xmlns:c16="http://schemas.microsoft.com/office/drawing/2014/chart" uri="{C3380CC4-5D6E-409C-BE32-E72D297353CC}">
              <c16:uniqueId val="{0000002D-A84F-4AFF-90AD-1264CB609548}"/>
            </c:ext>
          </c:extLst>
        </c:ser>
        <c:ser>
          <c:idx val="46"/>
          <c:order val="46"/>
          <c:tx>
            <c:strRef>
              <c:f>Interpolation!$S$49</c:f>
              <c:strCache>
                <c:ptCount val="1"/>
                <c:pt idx="0">
                  <c:v>34.6</c:v>
                </c:pt>
              </c:strCache>
            </c:strRef>
          </c:tx>
          <c:spPr>
            <a:solidFill>
              <a:schemeClr val="accent5">
                <a:lumMod val="7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Interpolation!$T$49:$CV$49</c:f>
              <c:numCache>
                <c:formatCode>General</c:formatCode>
                <c:ptCount val="81"/>
                <c:pt idx="0">
                  <c:v>9.4525277542965285E-3</c:v>
                </c:pt>
                <c:pt idx="1">
                  <c:v>9.2836991795709391E-3</c:v>
                </c:pt>
                <c:pt idx="2">
                  <c:v>9.1179805580083421E-3</c:v>
                </c:pt>
                <c:pt idx="3">
                  <c:v>8.9553718896087393E-3</c:v>
                </c:pt>
                <c:pt idx="4">
                  <c:v>8.7958731743721305E-3</c:v>
                </c:pt>
                <c:pt idx="5">
                  <c:v>8.639484412298502E-3</c:v>
                </c:pt>
                <c:pt idx="6">
                  <c:v>8.4862056033878676E-3</c:v>
                </c:pt>
                <c:pt idx="7">
                  <c:v>8.3360367476402134E-3</c:v>
                </c:pt>
                <c:pt idx="8">
                  <c:v>8.188977845055569E-3</c:v>
                </c:pt>
                <c:pt idx="9">
                  <c:v>8.0450288956339169E-3</c:v>
                </c:pt>
                <c:pt idx="10">
                  <c:v>7.9041898993752451E-3</c:v>
                </c:pt>
                <c:pt idx="11">
                  <c:v>7.7664608562795674E-3</c:v>
                </c:pt>
                <c:pt idx="12">
                  <c:v>7.6318417663468838E-3</c:v>
                </c:pt>
                <c:pt idx="13">
                  <c:v>7.5003326295771952E-3</c:v>
                </c:pt>
                <c:pt idx="14">
                  <c:v>7.371933445970486E-3</c:v>
                </c:pt>
                <c:pt idx="15">
                  <c:v>7.2466442155267779E-3</c:v>
                </c:pt>
                <c:pt idx="16">
                  <c:v>7.1244649382460577E-3</c:v>
                </c:pt>
                <c:pt idx="17">
                  <c:v>7.0053956141283239E-3</c:v>
                </c:pt>
                <c:pt idx="18">
                  <c:v>6.8894362431735912E-3</c:v>
                </c:pt>
                <c:pt idx="19">
                  <c:v>6.7765868253818456E-3</c:v>
                </c:pt>
                <c:pt idx="20">
                  <c:v>6.666847360753088E-3</c:v>
                </c:pt>
                <c:pt idx="21">
                  <c:v>6.5602178492873307E-3</c:v>
                </c:pt>
                <c:pt idx="22">
                  <c:v>6.4566982909845605E-3</c:v>
                </c:pt>
                <c:pt idx="23">
                  <c:v>6.3562886858447784E-3</c:v>
                </c:pt>
                <c:pt idx="24">
                  <c:v>6.2589890338679895E-3</c:v>
                </c:pt>
                <c:pt idx="25">
                  <c:v>6.1647993350541878E-3</c:v>
                </c:pt>
                <c:pt idx="26">
                  <c:v>6.0737195894033872E-3</c:v>
                </c:pt>
                <c:pt idx="27">
                  <c:v>5.9857497969155746E-3</c:v>
                </c:pt>
                <c:pt idx="28">
                  <c:v>5.9008899575907483E-3</c:v>
                </c:pt>
                <c:pt idx="29">
                  <c:v>5.8191400714289162E-3</c:v>
                </c:pt>
                <c:pt idx="30">
                  <c:v>5.740500138430079E-3</c:v>
                </c:pt>
                <c:pt idx="31">
                  <c:v>5.6649701585942281E-3</c:v>
                </c:pt>
                <c:pt idx="32">
                  <c:v>5.5925501319213713E-3</c:v>
                </c:pt>
                <c:pt idx="33">
                  <c:v>5.5232400584115018E-3</c:v>
                </c:pt>
                <c:pt idx="34">
                  <c:v>5.4570399380646272E-3</c:v>
                </c:pt>
                <c:pt idx="35">
                  <c:v>5.3939497708807458E-3</c:v>
                </c:pt>
                <c:pt idx="36">
                  <c:v>5.3339695568598517E-3</c:v>
                </c:pt>
                <c:pt idx="37">
                  <c:v>5.2770992960019525E-3</c:v>
                </c:pt>
                <c:pt idx="38">
                  <c:v>5.2233389883070466E-3</c:v>
                </c:pt>
                <c:pt idx="39">
                  <c:v>5.1726886337751278E-3</c:v>
                </c:pt>
                <c:pt idx="40">
                  <c:v>5.1251482324061962E-3</c:v>
                </c:pt>
                <c:pt idx="41">
                  <c:v>5.0807177842002596E-3</c:v>
                </c:pt>
                <c:pt idx="42">
                  <c:v>5.0393972891573163E-3</c:v>
                </c:pt>
                <c:pt idx="43">
                  <c:v>5.0011867472773679E-3</c:v>
                </c:pt>
                <c:pt idx="44">
                  <c:v>4.9660861585604059E-3</c:v>
                </c:pt>
                <c:pt idx="45">
                  <c:v>4.934095523006438E-3</c:v>
                </c:pt>
                <c:pt idx="46">
                  <c:v>4.9052148406154572E-3</c:v>
                </c:pt>
                <c:pt idx="47">
                  <c:v>4.8794441113874714E-3</c:v>
                </c:pt>
                <c:pt idx="48">
                  <c:v>4.8567833353224789E-3</c:v>
                </c:pt>
                <c:pt idx="49">
                  <c:v>4.8372325124204736E-3</c:v>
                </c:pt>
                <c:pt idx="50">
                  <c:v>4.8207916426814563E-3</c:v>
                </c:pt>
                <c:pt idx="51">
                  <c:v>4.8074607261054392E-3</c:v>
                </c:pt>
                <c:pt idx="52">
                  <c:v>4.7972397626924092E-3</c:v>
                </c:pt>
                <c:pt idx="53">
                  <c:v>4.7901287524423665E-3</c:v>
                </c:pt>
                <c:pt idx="54">
                  <c:v>4.7861276953553179E-3</c:v>
                </c:pt>
                <c:pt idx="55">
                  <c:v>4.7852365914312711E-3</c:v>
                </c:pt>
                <c:pt idx="56">
                  <c:v>4.7874554406702038E-3</c:v>
                </c:pt>
                <c:pt idx="57">
                  <c:v>4.7927842430721306E-3</c:v>
                </c:pt>
                <c:pt idx="58">
                  <c:v>4.8012229986370454E-3</c:v>
                </c:pt>
                <c:pt idx="59">
                  <c:v>4.8127717073649604E-3</c:v>
                </c:pt>
                <c:pt idx="60">
                  <c:v>4.8274303692558557E-3</c:v>
                </c:pt>
                <c:pt idx="61">
                  <c:v>4.8451989843097528E-3</c:v>
                </c:pt>
                <c:pt idx="62">
                  <c:v>4.8660775525266294E-3</c:v>
                </c:pt>
                <c:pt idx="63">
                  <c:v>4.8900660739065148E-3</c:v>
                </c:pt>
                <c:pt idx="64">
                  <c:v>4.9171645484493796E-3</c:v>
                </c:pt>
                <c:pt idx="65">
                  <c:v>4.9473729761552315E-3</c:v>
                </c:pt>
                <c:pt idx="66">
                  <c:v>4.9806913570240845E-3</c:v>
                </c:pt>
                <c:pt idx="67">
                  <c:v>5.0171196910559247E-3</c:v>
                </c:pt>
                <c:pt idx="68">
                  <c:v>5.056657978250759E-3</c:v>
                </c:pt>
                <c:pt idx="69">
                  <c:v>5.0993062186085814E-3</c:v>
                </c:pt>
                <c:pt idx="70">
                  <c:v>5.145064412129397E-3</c:v>
                </c:pt>
                <c:pt idx="71">
                  <c:v>5.1939325588132006E-3</c:v>
                </c:pt>
                <c:pt idx="72">
                  <c:v>5.2459106586599975E-3</c:v>
                </c:pt>
                <c:pt idx="73">
                  <c:v>5.3009987116697885E-3</c:v>
                </c:pt>
                <c:pt idx="74">
                  <c:v>5.3591967178425607E-3</c:v>
                </c:pt>
                <c:pt idx="75">
                  <c:v>5.420504677178339E-3</c:v>
                </c:pt>
                <c:pt idx="76">
                  <c:v>5.4849225896770994E-3</c:v>
                </c:pt>
                <c:pt idx="77">
                  <c:v>5.552450455338853E-3</c:v>
                </c:pt>
                <c:pt idx="78">
                  <c:v>5.6230882741636016E-3</c:v>
                </c:pt>
                <c:pt idx="79">
                  <c:v>5.6968360461513434E-3</c:v>
                </c:pt>
                <c:pt idx="80">
                  <c:v>5.7736937713020655E-3</c:v>
                </c:pt>
              </c:numCache>
            </c:numRef>
          </c:val>
          <c:extLst>
            <c:ext xmlns:c16="http://schemas.microsoft.com/office/drawing/2014/chart" uri="{C3380CC4-5D6E-409C-BE32-E72D297353CC}">
              <c16:uniqueId val="{0000002E-A84F-4AFF-90AD-1264CB609548}"/>
            </c:ext>
          </c:extLst>
        </c:ser>
        <c:ser>
          <c:idx val="47"/>
          <c:order val="47"/>
          <c:tx>
            <c:strRef>
              <c:f>Interpolation!$S$50</c:f>
              <c:strCache>
                <c:ptCount val="1"/>
                <c:pt idx="0">
                  <c:v>34.7</c:v>
                </c:pt>
              </c:strCache>
            </c:strRef>
          </c:tx>
          <c:spPr>
            <a:solidFill>
              <a:schemeClr val="accent6">
                <a:lumMod val="7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Interpolation!$T$50:$CV$50</c:f>
              <c:numCache>
                <c:formatCode>General</c:formatCode>
                <c:ptCount val="81"/>
                <c:pt idx="0">
                  <c:v>9.450675910089747E-3</c:v>
                </c:pt>
                <c:pt idx="1">
                  <c:v>9.2817521047814221E-3</c:v>
                </c:pt>
                <c:pt idx="2">
                  <c:v>9.1159382526360931E-3</c:v>
                </c:pt>
                <c:pt idx="3">
                  <c:v>8.9532343536537565E-3</c:v>
                </c:pt>
                <c:pt idx="4">
                  <c:v>8.7936404078344139E-3</c:v>
                </c:pt>
                <c:pt idx="5">
                  <c:v>8.6371564151780534E-3</c:v>
                </c:pt>
                <c:pt idx="6">
                  <c:v>8.4837823756846852E-3</c:v>
                </c:pt>
                <c:pt idx="7">
                  <c:v>8.333518289354299E-3</c:v>
                </c:pt>
                <c:pt idx="8">
                  <c:v>8.1863641561869191E-3</c:v>
                </c:pt>
                <c:pt idx="9">
                  <c:v>8.042319976182535E-3</c:v>
                </c:pt>
                <c:pt idx="10">
                  <c:v>7.9013857493411294E-3</c:v>
                </c:pt>
                <c:pt idx="11">
                  <c:v>7.7635614756627188E-3</c:v>
                </c:pt>
                <c:pt idx="12">
                  <c:v>7.6288471551473024E-3</c:v>
                </c:pt>
                <c:pt idx="13">
                  <c:v>7.49724278779488E-3</c:v>
                </c:pt>
                <c:pt idx="14">
                  <c:v>7.3687483736054379E-3</c:v>
                </c:pt>
                <c:pt idx="15">
                  <c:v>7.2433639125789968E-3</c:v>
                </c:pt>
                <c:pt idx="16">
                  <c:v>7.1210894047155429E-3</c:v>
                </c:pt>
                <c:pt idx="17">
                  <c:v>7.0019248500150762E-3</c:v>
                </c:pt>
                <c:pt idx="18">
                  <c:v>6.8858702484776105E-3</c:v>
                </c:pt>
                <c:pt idx="19">
                  <c:v>6.7729256001031321E-3</c:v>
                </c:pt>
                <c:pt idx="20">
                  <c:v>6.6630909048916408E-3</c:v>
                </c:pt>
                <c:pt idx="21">
                  <c:v>6.5563661628431497E-3</c:v>
                </c:pt>
                <c:pt idx="22">
                  <c:v>6.4527513739576475E-3</c:v>
                </c:pt>
                <c:pt idx="23">
                  <c:v>6.3522465382351307E-3</c:v>
                </c:pt>
                <c:pt idx="24">
                  <c:v>6.2548516556756089E-3</c:v>
                </c:pt>
                <c:pt idx="25">
                  <c:v>6.1605667262790743E-3</c:v>
                </c:pt>
                <c:pt idx="26">
                  <c:v>6.0693917500455408E-3</c:v>
                </c:pt>
                <c:pt idx="27">
                  <c:v>5.9813267269749944E-3</c:v>
                </c:pt>
                <c:pt idx="28">
                  <c:v>5.8963716570674353E-3</c:v>
                </c:pt>
                <c:pt idx="29">
                  <c:v>5.8145265403228702E-3</c:v>
                </c:pt>
                <c:pt idx="30">
                  <c:v>5.7357913767412992E-3</c:v>
                </c:pt>
                <c:pt idx="31">
                  <c:v>5.6601661663227155E-3</c:v>
                </c:pt>
                <c:pt idx="32">
                  <c:v>5.5876509090671258E-3</c:v>
                </c:pt>
                <c:pt idx="33">
                  <c:v>5.5182456049745233E-3</c:v>
                </c:pt>
                <c:pt idx="34">
                  <c:v>5.4519502540449141E-3</c:v>
                </c:pt>
                <c:pt idx="35">
                  <c:v>5.3887648562782999E-3</c:v>
                </c:pt>
                <c:pt idx="36">
                  <c:v>5.3286894116746728E-3</c:v>
                </c:pt>
                <c:pt idx="37">
                  <c:v>5.2717239202340399E-3</c:v>
                </c:pt>
                <c:pt idx="38">
                  <c:v>5.217868381956401E-3</c:v>
                </c:pt>
                <c:pt idx="39">
                  <c:v>5.1671227968417494E-3</c:v>
                </c:pt>
                <c:pt idx="40">
                  <c:v>5.1194871648900849E-3</c:v>
                </c:pt>
                <c:pt idx="41">
                  <c:v>5.0749614861014146E-3</c:v>
                </c:pt>
                <c:pt idx="42">
                  <c:v>5.0335457604757383E-3</c:v>
                </c:pt>
                <c:pt idx="43">
                  <c:v>4.9952399880130562E-3</c:v>
                </c:pt>
                <c:pt idx="44">
                  <c:v>4.9600441687133612E-3</c:v>
                </c:pt>
                <c:pt idx="45">
                  <c:v>4.9279583025766596E-3</c:v>
                </c:pt>
                <c:pt idx="46">
                  <c:v>4.8989823896029459E-3</c:v>
                </c:pt>
                <c:pt idx="47">
                  <c:v>4.8731164297922264E-3</c:v>
                </c:pt>
                <c:pt idx="48">
                  <c:v>4.8503604231445018E-3</c:v>
                </c:pt>
                <c:pt idx="49">
                  <c:v>4.8307143696597627E-3</c:v>
                </c:pt>
                <c:pt idx="50">
                  <c:v>4.8141782693380125E-3</c:v>
                </c:pt>
                <c:pt idx="51">
                  <c:v>4.8007521221792616E-3</c:v>
                </c:pt>
                <c:pt idx="52">
                  <c:v>4.7904359281834988E-3</c:v>
                </c:pt>
                <c:pt idx="53">
                  <c:v>4.7832296873507232E-3</c:v>
                </c:pt>
                <c:pt idx="54">
                  <c:v>4.7791333996809416E-3</c:v>
                </c:pt>
                <c:pt idx="55">
                  <c:v>4.7781470651741612E-3</c:v>
                </c:pt>
                <c:pt idx="56">
                  <c:v>4.7802706838303601E-3</c:v>
                </c:pt>
                <c:pt idx="57">
                  <c:v>4.7855042556495548E-3</c:v>
                </c:pt>
                <c:pt idx="58">
                  <c:v>4.793847780631735E-3</c:v>
                </c:pt>
                <c:pt idx="59">
                  <c:v>4.805301258776918E-3</c:v>
                </c:pt>
                <c:pt idx="60">
                  <c:v>4.8198646900850795E-3</c:v>
                </c:pt>
                <c:pt idx="61">
                  <c:v>4.8375380745562437E-3</c:v>
                </c:pt>
                <c:pt idx="62">
                  <c:v>4.8583214121903865E-3</c:v>
                </c:pt>
                <c:pt idx="63">
                  <c:v>4.882214702987539E-3</c:v>
                </c:pt>
                <c:pt idx="64">
                  <c:v>4.90921794694767E-3</c:v>
                </c:pt>
                <c:pt idx="65">
                  <c:v>4.9393311440707891E-3</c:v>
                </c:pt>
                <c:pt idx="66">
                  <c:v>4.9725542943569092E-3</c:v>
                </c:pt>
                <c:pt idx="67">
                  <c:v>5.0088873978060156E-3</c:v>
                </c:pt>
                <c:pt idx="68">
                  <c:v>5.0483304544181179E-3</c:v>
                </c:pt>
                <c:pt idx="69">
                  <c:v>5.0908834641932056E-3</c:v>
                </c:pt>
                <c:pt idx="70">
                  <c:v>5.1365464271312892E-3</c:v>
                </c:pt>
                <c:pt idx="71">
                  <c:v>5.1853193432323582E-3</c:v>
                </c:pt>
                <c:pt idx="72">
                  <c:v>5.2372022124964231E-3</c:v>
                </c:pt>
                <c:pt idx="73">
                  <c:v>5.2921950349234812E-3</c:v>
                </c:pt>
                <c:pt idx="74">
                  <c:v>5.3502978105135195E-3</c:v>
                </c:pt>
                <c:pt idx="75">
                  <c:v>5.411510539266565E-3</c:v>
                </c:pt>
                <c:pt idx="76">
                  <c:v>5.4758332211825916E-3</c:v>
                </c:pt>
                <c:pt idx="77">
                  <c:v>5.5432658562616123E-3</c:v>
                </c:pt>
                <c:pt idx="78">
                  <c:v>5.6138084445036271E-3</c:v>
                </c:pt>
                <c:pt idx="79">
                  <c:v>5.6874609859086361E-3</c:v>
                </c:pt>
                <c:pt idx="80">
                  <c:v>5.7642234804766244E-3</c:v>
                </c:pt>
              </c:numCache>
            </c:numRef>
          </c:val>
          <c:extLst>
            <c:ext xmlns:c16="http://schemas.microsoft.com/office/drawing/2014/chart" uri="{C3380CC4-5D6E-409C-BE32-E72D297353CC}">
              <c16:uniqueId val="{0000002F-A84F-4AFF-90AD-1264CB609548}"/>
            </c:ext>
          </c:extLst>
        </c:ser>
        <c:ser>
          <c:idx val="48"/>
          <c:order val="48"/>
          <c:tx>
            <c:strRef>
              <c:f>Interpolation!$S$51</c:f>
              <c:strCache>
                <c:ptCount val="1"/>
                <c:pt idx="0">
                  <c:v>34.8</c:v>
                </c:pt>
              </c:strCache>
            </c:strRef>
          </c:tx>
          <c:spPr>
            <a:solidFill>
              <a:schemeClr val="accent1">
                <a:lumMod val="50000"/>
                <a:lumOff val="5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Interpolation!$T$51:$CV$51</c:f>
              <c:numCache>
                <c:formatCode>General</c:formatCode>
                <c:ptCount val="81"/>
                <c:pt idx="0">
                  <c:v>9.449724519609775E-3</c:v>
                </c:pt>
                <c:pt idx="1">
                  <c:v>9.2807054837187181E-3</c:v>
                </c:pt>
                <c:pt idx="2">
                  <c:v>9.1147964009906535E-3</c:v>
                </c:pt>
                <c:pt idx="3">
                  <c:v>8.9519972714255849E-3</c:v>
                </c:pt>
                <c:pt idx="4">
                  <c:v>8.7923080950235103E-3</c:v>
                </c:pt>
                <c:pt idx="5">
                  <c:v>8.635728871784416E-3</c:v>
                </c:pt>
                <c:pt idx="6">
                  <c:v>8.4822596017083141E-3</c:v>
                </c:pt>
                <c:pt idx="7">
                  <c:v>8.3319002847951941E-3</c:v>
                </c:pt>
                <c:pt idx="8">
                  <c:v>8.1846509210450821E-3</c:v>
                </c:pt>
                <c:pt idx="9">
                  <c:v>8.0405115104579643E-3</c:v>
                </c:pt>
                <c:pt idx="10">
                  <c:v>7.8994820530338267E-3</c:v>
                </c:pt>
                <c:pt idx="11">
                  <c:v>7.7615625487726823E-3</c:v>
                </c:pt>
                <c:pt idx="12">
                  <c:v>7.6267529976745321E-3</c:v>
                </c:pt>
                <c:pt idx="13">
                  <c:v>7.4950533997393768E-3</c:v>
                </c:pt>
                <c:pt idx="14">
                  <c:v>7.3664637549672009E-3</c:v>
                </c:pt>
                <c:pt idx="15">
                  <c:v>7.2409840633580269E-3</c:v>
                </c:pt>
                <c:pt idx="16">
                  <c:v>7.1186143249118393E-3</c:v>
                </c:pt>
                <c:pt idx="17">
                  <c:v>6.9993545396286397E-3</c:v>
                </c:pt>
                <c:pt idx="18">
                  <c:v>6.8832047075084411E-3</c:v>
                </c:pt>
                <c:pt idx="19">
                  <c:v>6.7701648285512289E-3</c:v>
                </c:pt>
                <c:pt idx="20">
                  <c:v>6.6602349027570047E-3</c:v>
                </c:pt>
                <c:pt idx="21">
                  <c:v>6.5534149301257807E-3</c:v>
                </c:pt>
                <c:pt idx="22">
                  <c:v>6.4497049106575447E-3</c:v>
                </c:pt>
                <c:pt idx="23">
                  <c:v>6.3491048443522951E-3</c:v>
                </c:pt>
                <c:pt idx="24">
                  <c:v>6.2516147312100404E-3</c:v>
                </c:pt>
                <c:pt idx="25">
                  <c:v>6.1572345712307729E-3</c:v>
                </c:pt>
                <c:pt idx="26">
                  <c:v>6.0659643644145056E-3</c:v>
                </c:pt>
                <c:pt idx="27">
                  <c:v>5.9778041107612263E-3</c:v>
                </c:pt>
                <c:pt idx="28">
                  <c:v>5.8927538102709334E-3</c:v>
                </c:pt>
                <c:pt idx="29">
                  <c:v>5.8108134629436354E-3</c:v>
                </c:pt>
                <c:pt idx="30">
                  <c:v>5.7319830687793307E-3</c:v>
                </c:pt>
                <c:pt idx="31">
                  <c:v>5.656262627778014E-3</c:v>
                </c:pt>
                <c:pt idx="32">
                  <c:v>5.5836521399396915E-3</c:v>
                </c:pt>
                <c:pt idx="33">
                  <c:v>5.5141516052643553E-3</c:v>
                </c:pt>
                <c:pt idx="34">
                  <c:v>5.4477610237520131E-3</c:v>
                </c:pt>
                <c:pt idx="35">
                  <c:v>5.384480395402666E-3</c:v>
                </c:pt>
                <c:pt idx="36">
                  <c:v>5.324309720216306E-3</c:v>
                </c:pt>
                <c:pt idx="37">
                  <c:v>5.2672489981929393E-3</c:v>
                </c:pt>
                <c:pt idx="38">
                  <c:v>5.2132982293325676E-3</c:v>
                </c:pt>
                <c:pt idx="39">
                  <c:v>5.1624574136351822E-3</c:v>
                </c:pt>
                <c:pt idx="40">
                  <c:v>5.1147265511007848E-3</c:v>
                </c:pt>
                <c:pt idx="41">
                  <c:v>5.0701056417293815E-3</c:v>
                </c:pt>
                <c:pt idx="42">
                  <c:v>5.0285946855209715E-3</c:v>
                </c:pt>
                <c:pt idx="43">
                  <c:v>4.9901936824755556E-3</c:v>
                </c:pt>
                <c:pt idx="44">
                  <c:v>4.9549026325931278E-3</c:v>
                </c:pt>
                <c:pt idx="45">
                  <c:v>4.9227215358736941E-3</c:v>
                </c:pt>
                <c:pt idx="46">
                  <c:v>4.8936503923172467E-3</c:v>
                </c:pt>
                <c:pt idx="47">
                  <c:v>4.8676892019237942E-3</c:v>
                </c:pt>
                <c:pt idx="48">
                  <c:v>4.844837964693335E-3</c:v>
                </c:pt>
                <c:pt idx="49">
                  <c:v>4.8250966806258639E-3</c:v>
                </c:pt>
                <c:pt idx="50">
                  <c:v>4.8084653497213799E-3</c:v>
                </c:pt>
                <c:pt idx="51">
                  <c:v>4.7949439719798962E-3</c:v>
                </c:pt>
                <c:pt idx="52">
                  <c:v>4.7845325474013996E-3</c:v>
                </c:pt>
                <c:pt idx="53">
                  <c:v>4.777231075985891E-3</c:v>
                </c:pt>
                <c:pt idx="54">
                  <c:v>4.7730395577333766E-3</c:v>
                </c:pt>
                <c:pt idx="55">
                  <c:v>4.7719579926438632E-3</c:v>
                </c:pt>
                <c:pt idx="56">
                  <c:v>4.7739863807173284E-3</c:v>
                </c:pt>
                <c:pt idx="57">
                  <c:v>4.7791247219537893E-3</c:v>
                </c:pt>
                <c:pt idx="58">
                  <c:v>4.7873730163532375E-3</c:v>
                </c:pt>
                <c:pt idx="59">
                  <c:v>4.7987312639156867E-3</c:v>
                </c:pt>
                <c:pt idx="60">
                  <c:v>4.8131994646411162E-3</c:v>
                </c:pt>
                <c:pt idx="61">
                  <c:v>4.8307776185295458E-3</c:v>
                </c:pt>
                <c:pt idx="62">
                  <c:v>4.8514657255809557E-3</c:v>
                </c:pt>
                <c:pt idx="63">
                  <c:v>4.8752637857953744E-3</c:v>
                </c:pt>
                <c:pt idx="64">
                  <c:v>4.9021717991727734E-3</c:v>
                </c:pt>
                <c:pt idx="65">
                  <c:v>4.9321897657131578E-3</c:v>
                </c:pt>
                <c:pt idx="66">
                  <c:v>4.965317685416545E-3</c:v>
                </c:pt>
                <c:pt idx="67">
                  <c:v>5.0015555582829194E-3</c:v>
                </c:pt>
                <c:pt idx="68">
                  <c:v>5.0409033843122879E-3</c:v>
                </c:pt>
                <c:pt idx="69">
                  <c:v>5.0833611635046428E-3</c:v>
                </c:pt>
                <c:pt idx="70">
                  <c:v>5.1289288958599917E-3</c:v>
                </c:pt>
                <c:pt idx="71">
                  <c:v>5.1776065813783287E-3</c:v>
                </c:pt>
                <c:pt idx="72">
                  <c:v>5.2293942200596598E-3</c:v>
                </c:pt>
                <c:pt idx="73">
                  <c:v>5.284291811903985E-3</c:v>
                </c:pt>
                <c:pt idx="74">
                  <c:v>5.3422993569112896E-3</c:v>
                </c:pt>
                <c:pt idx="75">
                  <c:v>5.4034168550816022E-3</c:v>
                </c:pt>
                <c:pt idx="76">
                  <c:v>5.4676443064148959E-3</c:v>
                </c:pt>
                <c:pt idx="77">
                  <c:v>5.5349817109111837E-3</c:v>
                </c:pt>
                <c:pt idx="78">
                  <c:v>5.6054290685704647E-3</c:v>
                </c:pt>
                <c:pt idx="79">
                  <c:v>5.6789863793927399E-3</c:v>
                </c:pt>
                <c:pt idx="80">
                  <c:v>5.7556536433779962E-3</c:v>
                </c:pt>
              </c:numCache>
            </c:numRef>
          </c:val>
          <c:extLst>
            <c:ext xmlns:c16="http://schemas.microsoft.com/office/drawing/2014/chart" uri="{C3380CC4-5D6E-409C-BE32-E72D297353CC}">
              <c16:uniqueId val="{00000030-A84F-4AFF-90AD-1264CB609548}"/>
            </c:ext>
          </c:extLst>
        </c:ser>
        <c:ser>
          <c:idx val="49"/>
          <c:order val="49"/>
          <c:tx>
            <c:strRef>
              <c:f>Interpolation!$S$52</c:f>
              <c:strCache>
                <c:ptCount val="1"/>
                <c:pt idx="0">
                  <c:v>34.9</c:v>
                </c:pt>
              </c:strCache>
            </c:strRef>
          </c:tx>
          <c:spPr>
            <a:solidFill>
              <a:schemeClr val="accent2">
                <a:lumMod val="50000"/>
                <a:lumOff val="5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Interpolation!$T$52:$CV$52</c:f>
              <c:numCache>
                <c:formatCode>General</c:formatCode>
                <c:ptCount val="81"/>
                <c:pt idx="0">
                  <c:v>9.449673582856628E-3</c:v>
                </c:pt>
                <c:pt idx="1">
                  <c:v>9.2805593163828373E-3</c:v>
                </c:pt>
                <c:pt idx="2">
                  <c:v>9.1145550030720408E-3</c:v>
                </c:pt>
                <c:pt idx="3">
                  <c:v>8.9516606429242383E-3</c:v>
                </c:pt>
                <c:pt idx="4">
                  <c:v>8.79187623593943E-3</c:v>
                </c:pt>
                <c:pt idx="5">
                  <c:v>8.6352017821176019E-3</c:v>
                </c:pt>
                <c:pt idx="6">
                  <c:v>8.4816372814587697E-3</c:v>
                </c:pt>
                <c:pt idx="7">
                  <c:v>8.331182733962916E-3</c:v>
                </c:pt>
                <c:pt idx="8">
                  <c:v>8.1838381396300702E-3</c:v>
                </c:pt>
                <c:pt idx="9">
                  <c:v>8.0396034984602186E-3</c:v>
                </c:pt>
                <c:pt idx="10">
                  <c:v>7.8984788104533472E-3</c:v>
                </c:pt>
                <c:pt idx="11">
                  <c:v>7.76046407560947E-3</c:v>
                </c:pt>
                <c:pt idx="12">
                  <c:v>7.6255592939285868E-3</c:v>
                </c:pt>
                <c:pt idx="13">
                  <c:v>7.4937644654106978E-3</c:v>
                </c:pt>
                <c:pt idx="14">
                  <c:v>7.365079590055789E-3</c:v>
                </c:pt>
                <c:pt idx="15">
                  <c:v>7.2395046678638822E-3</c:v>
                </c:pt>
                <c:pt idx="16">
                  <c:v>7.1170396988349616E-3</c:v>
                </c:pt>
                <c:pt idx="17">
                  <c:v>6.9976846829690282E-3</c:v>
                </c:pt>
                <c:pt idx="18">
                  <c:v>6.8814396202660959E-3</c:v>
                </c:pt>
                <c:pt idx="19">
                  <c:v>6.7683045107261516E-3</c:v>
                </c:pt>
                <c:pt idx="20">
                  <c:v>6.6582793543491937E-3</c:v>
                </c:pt>
                <c:pt idx="21">
                  <c:v>6.5513641511352368E-3</c:v>
                </c:pt>
                <c:pt idx="22">
                  <c:v>6.447558901084267E-3</c:v>
                </c:pt>
                <c:pt idx="23">
                  <c:v>6.3468636041962845E-3</c:v>
                </c:pt>
                <c:pt idx="24">
                  <c:v>6.249278260471296E-3</c:v>
                </c:pt>
                <c:pt idx="25">
                  <c:v>6.1548028699092957E-3</c:v>
                </c:pt>
                <c:pt idx="26">
                  <c:v>6.0634374325102955E-3</c:v>
                </c:pt>
                <c:pt idx="27">
                  <c:v>5.9751819482742824E-3</c:v>
                </c:pt>
                <c:pt idx="28">
                  <c:v>5.8900364172012566E-3</c:v>
                </c:pt>
                <c:pt idx="29">
                  <c:v>5.8080008392912249E-3</c:v>
                </c:pt>
                <c:pt idx="30">
                  <c:v>5.7290752145441881E-3</c:v>
                </c:pt>
                <c:pt idx="31">
                  <c:v>5.6532595429601377E-3</c:v>
                </c:pt>
                <c:pt idx="32">
                  <c:v>5.5805538245390814E-3</c:v>
                </c:pt>
                <c:pt idx="33">
                  <c:v>5.5109580592810122E-3</c:v>
                </c:pt>
                <c:pt idx="34">
                  <c:v>5.4444722471859372E-3</c:v>
                </c:pt>
                <c:pt idx="35">
                  <c:v>5.3810963882538563E-3</c:v>
                </c:pt>
                <c:pt idx="36">
                  <c:v>5.3208304824847626E-3</c:v>
                </c:pt>
                <c:pt idx="37">
                  <c:v>5.2636745298786638E-3</c:v>
                </c:pt>
                <c:pt idx="38">
                  <c:v>5.2096285304355583E-3</c:v>
                </c:pt>
                <c:pt idx="39">
                  <c:v>5.15869248415544E-3</c:v>
                </c:pt>
                <c:pt idx="40">
                  <c:v>5.1108663910383097E-3</c:v>
                </c:pt>
                <c:pt idx="41">
                  <c:v>5.0661502510841727E-3</c:v>
                </c:pt>
                <c:pt idx="42">
                  <c:v>5.0245440642930298E-3</c:v>
                </c:pt>
                <c:pt idx="43">
                  <c:v>4.986047830664881E-3</c:v>
                </c:pt>
                <c:pt idx="44">
                  <c:v>4.9506615501997194E-3</c:v>
                </c:pt>
                <c:pt idx="45">
                  <c:v>4.9183852228975519E-3</c:v>
                </c:pt>
                <c:pt idx="46">
                  <c:v>4.8892188487583716E-3</c:v>
                </c:pt>
                <c:pt idx="47">
                  <c:v>4.8631624277821863E-3</c:v>
                </c:pt>
                <c:pt idx="48">
                  <c:v>4.8402159599689942E-3</c:v>
                </c:pt>
                <c:pt idx="49">
                  <c:v>4.8203794453187893E-3</c:v>
                </c:pt>
                <c:pt idx="50">
                  <c:v>4.8036528838315724E-3</c:v>
                </c:pt>
                <c:pt idx="51">
                  <c:v>4.7900362755073558E-3</c:v>
                </c:pt>
                <c:pt idx="52">
                  <c:v>4.7795296203461263E-3</c:v>
                </c:pt>
                <c:pt idx="53">
                  <c:v>4.772132918347884E-3</c:v>
                </c:pt>
                <c:pt idx="54">
                  <c:v>4.7678461695126358E-3</c:v>
                </c:pt>
                <c:pt idx="55">
                  <c:v>4.7666693738403886E-3</c:v>
                </c:pt>
                <c:pt idx="56">
                  <c:v>4.7686025313311217E-3</c:v>
                </c:pt>
                <c:pt idx="57">
                  <c:v>4.7736456419848489E-3</c:v>
                </c:pt>
                <c:pt idx="58">
                  <c:v>4.7817987058015633E-3</c:v>
                </c:pt>
                <c:pt idx="59">
                  <c:v>4.7930617227812796E-3</c:v>
                </c:pt>
                <c:pt idx="60">
                  <c:v>4.8074346929239762E-3</c:v>
                </c:pt>
                <c:pt idx="61">
                  <c:v>4.8249176162296729E-3</c:v>
                </c:pt>
                <c:pt idx="62">
                  <c:v>4.8455104926983499E-3</c:v>
                </c:pt>
                <c:pt idx="63">
                  <c:v>4.8692133223300349E-3</c:v>
                </c:pt>
                <c:pt idx="64">
                  <c:v>4.8960261051247001E-3</c:v>
                </c:pt>
                <c:pt idx="65">
                  <c:v>4.9259488410823525E-3</c:v>
                </c:pt>
                <c:pt idx="66">
                  <c:v>4.958981530203006E-3</c:v>
                </c:pt>
                <c:pt idx="67">
                  <c:v>4.9951241724866466E-3</c:v>
                </c:pt>
                <c:pt idx="68">
                  <c:v>5.0343767679332813E-3</c:v>
                </c:pt>
                <c:pt idx="69">
                  <c:v>5.0767393165429033E-3</c:v>
                </c:pt>
                <c:pt idx="70">
                  <c:v>5.1222118183155202E-3</c:v>
                </c:pt>
                <c:pt idx="71">
                  <c:v>5.1707942732511234E-3</c:v>
                </c:pt>
                <c:pt idx="72">
                  <c:v>5.2224866813497216E-3</c:v>
                </c:pt>
                <c:pt idx="73">
                  <c:v>5.277289042611313E-3</c:v>
                </c:pt>
                <c:pt idx="74">
                  <c:v>5.3352013570358847E-3</c:v>
                </c:pt>
                <c:pt idx="75">
                  <c:v>5.3962236246234644E-3</c:v>
                </c:pt>
                <c:pt idx="76">
                  <c:v>5.4603558453740243E-3</c:v>
                </c:pt>
                <c:pt idx="77">
                  <c:v>5.5275980192875784E-3</c:v>
                </c:pt>
                <c:pt idx="78">
                  <c:v>5.5979501463641265E-3</c:v>
                </c:pt>
                <c:pt idx="79">
                  <c:v>5.6714122266036688E-3</c:v>
                </c:pt>
                <c:pt idx="80">
                  <c:v>5.7479842600061922E-3</c:v>
                </c:pt>
              </c:numCache>
            </c:numRef>
          </c:val>
          <c:extLst>
            <c:ext xmlns:c16="http://schemas.microsoft.com/office/drawing/2014/chart" uri="{C3380CC4-5D6E-409C-BE32-E72D297353CC}">
              <c16:uniqueId val="{00000031-A84F-4AFF-90AD-1264CB609548}"/>
            </c:ext>
          </c:extLst>
        </c:ser>
        <c:ser>
          <c:idx val="50"/>
          <c:order val="50"/>
          <c:tx>
            <c:strRef>
              <c:f>Interpolation!$S$53</c:f>
              <c:strCache>
                <c:ptCount val="1"/>
                <c:pt idx="0">
                  <c:v>35</c:v>
                </c:pt>
              </c:strCache>
            </c:strRef>
          </c:tx>
          <c:spPr>
            <a:solidFill>
              <a:schemeClr val="accent3">
                <a:lumMod val="50000"/>
                <a:lumOff val="5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Interpolation!$T$53:$CV$53</c:f>
              <c:numCache>
                <c:formatCode>General</c:formatCode>
                <c:ptCount val="81"/>
                <c:pt idx="0">
                  <c:v>9.450523099830313E-3</c:v>
                </c:pt>
                <c:pt idx="1">
                  <c:v>9.2813136027737886E-3</c:v>
                </c:pt>
                <c:pt idx="2">
                  <c:v>9.11521405888026E-3</c:v>
                </c:pt>
                <c:pt idx="3">
                  <c:v>8.9522244681497238E-3</c:v>
                </c:pt>
                <c:pt idx="4">
                  <c:v>8.7923448305821834E-3</c:v>
                </c:pt>
                <c:pt idx="5">
                  <c:v>8.6355751461776216E-3</c:v>
                </c:pt>
                <c:pt idx="6">
                  <c:v>8.4819154149360539E-3</c:v>
                </c:pt>
                <c:pt idx="7">
                  <c:v>8.3313656368574681E-3</c:v>
                </c:pt>
                <c:pt idx="8">
                  <c:v>8.1839258119418886E-3</c:v>
                </c:pt>
                <c:pt idx="9">
                  <c:v>8.039595940189305E-3</c:v>
                </c:pt>
                <c:pt idx="10">
                  <c:v>7.8983760215996998E-3</c:v>
                </c:pt>
                <c:pt idx="11">
                  <c:v>7.7602660561730897E-3</c:v>
                </c:pt>
                <c:pt idx="12">
                  <c:v>7.6252660439094736E-3</c:v>
                </c:pt>
                <c:pt idx="13">
                  <c:v>7.4933759848088517E-3</c:v>
                </c:pt>
                <c:pt idx="14">
                  <c:v>7.36459587887121E-3</c:v>
                </c:pt>
                <c:pt idx="15">
                  <c:v>7.2389257260965685E-3</c:v>
                </c:pt>
                <c:pt idx="16">
                  <c:v>7.1163655264849151E-3</c:v>
                </c:pt>
                <c:pt idx="17">
                  <c:v>6.9969152800362488E-3</c:v>
                </c:pt>
                <c:pt idx="18">
                  <c:v>6.8805749867505836E-3</c:v>
                </c:pt>
                <c:pt idx="19">
                  <c:v>6.7673446466279055E-3</c:v>
                </c:pt>
                <c:pt idx="20">
                  <c:v>6.6572242596682138E-3</c:v>
                </c:pt>
                <c:pt idx="21">
                  <c:v>6.5502138258715249E-3</c:v>
                </c:pt>
                <c:pt idx="22">
                  <c:v>6.4463133452378214E-3</c:v>
                </c:pt>
                <c:pt idx="23">
                  <c:v>6.3455228177671059E-3</c:v>
                </c:pt>
                <c:pt idx="24">
                  <c:v>6.2478422434593846E-3</c:v>
                </c:pt>
                <c:pt idx="25">
                  <c:v>6.1532716223146504E-3</c:v>
                </c:pt>
                <c:pt idx="26">
                  <c:v>6.0618109543329173E-3</c:v>
                </c:pt>
                <c:pt idx="27">
                  <c:v>5.9734602395141705E-3</c:v>
                </c:pt>
                <c:pt idx="28">
                  <c:v>5.8882194778584118E-3</c:v>
                </c:pt>
                <c:pt idx="29">
                  <c:v>5.8060886693656472E-3</c:v>
                </c:pt>
                <c:pt idx="30">
                  <c:v>5.7270678140358758E-3</c:v>
                </c:pt>
                <c:pt idx="31">
                  <c:v>5.6511569118690933E-3</c:v>
                </c:pt>
                <c:pt idx="32">
                  <c:v>5.5783559628653032E-3</c:v>
                </c:pt>
                <c:pt idx="33">
                  <c:v>5.5086649670245012E-3</c:v>
                </c:pt>
                <c:pt idx="34">
                  <c:v>5.4420839243466933E-3</c:v>
                </c:pt>
                <c:pt idx="35">
                  <c:v>5.3786128348318795E-3</c:v>
                </c:pt>
                <c:pt idx="36">
                  <c:v>5.3182516984800528E-3</c:v>
                </c:pt>
                <c:pt idx="37">
                  <c:v>5.2610005152912195E-3</c:v>
                </c:pt>
                <c:pt idx="38">
                  <c:v>5.2068592852653811E-3</c:v>
                </c:pt>
                <c:pt idx="39">
                  <c:v>5.1558280084025299E-3</c:v>
                </c:pt>
                <c:pt idx="40">
                  <c:v>5.1079066847026658E-3</c:v>
                </c:pt>
                <c:pt idx="41">
                  <c:v>5.0630953141657959E-3</c:v>
                </c:pt>
                <c:pt idx="42">
                  <c:v>5.0213938967919192E-3</c:v>
                </c:pt>
                <c:pt idx="43">
                  <c:v>4.9828024325810375E-3</c:v>
                </c:pt>
                <c:pt idx="44">
                  <c:v>4.947320921533143E-3</c:v>
                </c:pt>
                <c:pt idx="45">
                  <c:v>4.9149493636482426E-3</c:v>
                </c:pt>
                <c:pt idx="46">
                  <c:v>4.8856877589263294E-3</c:v>
                </c:pt>
                <c:pt idx="47">
                  <c:v>4.8595361073674103E-3</c:v>
                </c:pt>
                <c:pt idx="48">
                  <c:v>4.8364944089714854E-3</c:v>
                </c:pt>
                <c:pt idx="49">
                  <c:v>4.8165626637385467E-3</c:v>
                </c:pt>
                <c:pt idx="50">
                  <c:v>4.7997408716685961E-3</c:v>
                </c:pt>
                <c:pt idx="51">
                  <c:v>4.7860290327616465E-3</c:v>
                </c:pt>
                <c:pt idx="52">
                  <c:v>4.7754271470176841E-3</c:v>
                </c:pt>
                <c:pt idx="53">
                  <c:v>4.7679352144367089E-3</c:v>
                </c:pt>
                <c:pt idx="54">
                  <c:v>4.7635532350187269E-3</c:v>
                </c:pt>
                <c:pt idx="55">
                  <c:v>4.7622812087637478E-3</c:v>
                </c:pt>
                <c:pt idx="56">
                  <c:v>4.7641191356717471E-3</c:v>
                </c:pt>
                <c:pt idx="57">
                  <c:v>4.7690670157427405E-3</c:v>
                </c:pt>
                <c:pt idx="58">
                  <c:v>4.777124848976722E-3</c:v>
                </c:pt>
                <c:pt idx="59">
                  <c:v>4.7882926353737046E-3</c:v>
                </c:pt>
                <c:pt idx="60">
                  <c:v>4.8025703749336682E-3</c:v>
                </c:pt>
                <c:pt idx="61">
                  <c:v>4.8199580676566312E-3</c:v>
                </c:pt>
                <c:pt idx="62">
                  <c:v>4.8404557135425753E-3</c:v>
                </c:pt>
                <c:pt idx="63">
                  <c:v>4.8640633125915274E-3</c:v>
                </c:pt>
                <c:pt idx="64">
                  <c:v>4.8907808648034588E-3</c:v>
                </c:pt>
                <c:pt idx="65">
                  <c:v>4.9206083701783783E-3</c:v>
                </c:pt>
                <c:pt idx="66">
                  <c:v>4.9535458287162989E-3</c:v>
                </c:pt>
                <c:pt idx="67">
                  <c:v>4.9895932404172057E-3</c:v>
                </c:pt>
                <c:pt idx="68">
                  <c:v>5.0287506052811085E-3</c:v>
                </c:pt>
                <c:pt idx="69">
                  <c:v>5.0710179233079966E-3</c:v>
                </c:pt>
                <c:pt idx="70">
                  <c:v>5.1163951944978798E-3</c:v>
                </c:pt>
                <c:pt idx="71">
                  <c:v>5.1648824188507501E-3</c:v>
                </c:pt>
                <c:pt idx="72">
                  <c:v>5.2164795963666154E-3</c:v>
                </c:pt>
                <c:pt idx="73">
                  <c:v>5.2711867270454731E-3</c:v>
                </c:pt>
                <c:pt idx="74">
                  <c:v>5.3290038108873118E-3</c:v>
                </c:pt>
                <c:pt idx="75">
                  <c:v>5.3899308478921586E-3</c:v>
                </c:pt>
                <c:pt idx="76">
                  <c:v>5.4539678380599848E-3</c:v>
                </c:pt>
                <c:pt idx="77">
                  <c:v>5.5211147813908059E-3</c:v>
                </c:pt>
                <c:pt idx="78">
                  <c:v>5.5913716778846212E-3</c:v>
                </c:pt>
                <c:pt idx="79">
                  <c:v>5.6647385275414297E-3</c:v>
                </c:pt>
                <c:pt idx="80">
                  <c:v>5.7412153303612202E-3</c:v>
                </c:pt>
              </c:numCache>
            </c:numRef>
          </c:val>
          <c:extLst>
            <c:ext xmlns:c16="http://schemas.microsoft.com/office/drawing/2014/chart" uri="{C3380CC4-5D6E-409C-BE32-E72D297353CC}">
              <c16:uniqueId val="{00000032-A84F-4AFF-90AD-1264CB609548}"/>
            </c:ext>
          </c:extLst>
        </c:ser>
        <c:ser>
          <c:idx val="51"/>
          <c:order val="51"/>
          <c:tx>
            <c:strRef>
              <c:f>Interpolation!$S$54</c:f>
              <c:strCache>
                <c:ptCount val="1"/>
                <c:pt idx="0">
                  <c:v>35.1</c:v>
                </c:pt>
              </c:strCache>
            </c:strRef>
          </c:tx>
          <c:spPr>
            <a:solidFill>
              <a:schemeClr val="accent4">
                <a:lumMod val="50000"/>
                <a:lumOff val="5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Interpolation!$T$54:$CV$54</c:f>
              <c:numCache>
                <c:formatCode>General</c:formatCode>
                <c:ptCount val="81"/>
                <c:pt idx="0">
                  <c:v>9.4522730705308023E-3</c:v>
                </c:pt>
                <c:pt idx="1">
                  <c:v>9.2829683428915458E-3</c:v>
                </c:pt>
                <c:pt idx="2">
                  <c:v>9.1167735684152835E-3</c:v>
                </c:pt>
                <c:pt idx="3">
                  <c:v>8.9536887471020135E-3</c:v>
                </c:pt>
                <c:pt idx="4">
                  <c:v>8.7937138789517394E-3</c:v>
                </c:pt>
                <c:pt idx="5">
                  <c:v>8.6368489639644455E-3</c:v>
                </c:pt>
                <c:pt idx="6">
                  <c:v>8.4830940021401458E-3</c:v>
                </c:pt>
                <c:pt idx="7">
                  <c:v>8.3324489934788245E-3</c:v>
                </c:pt>
                <c:pt idx="8">
                  <c:v>8.184913937980513E-3</c:v>
                </c:pt>
                <c:pt idx="9">
                  <c:v>8.0404888356451956E-3</c:v>
                </c:pt>
                <c:pt idx="10">
                  <c:v>7.8991736864728566E-3</c:v>
                </c:pt>
                <c:pt idx="11">
                  <c:v>7.7609684904635136E-3</c:v>
                </c:pt>
                <c:pt idx="12">
                  <c:v>7.6258732476171646E-3</c:v>
                </c:pt>
                <c:pt idx="13">
                  <c:v>7.493887957933809E-3</c:v>
                </c:pt>
                <c:pt idx="14">
                  <c:v>7.3650126214134344E-3</c:v>
                </c:pt>
                <c:pt idx="15">
                  <c:v>7.23924723805606E-3</c:v>
                </c:pt>
                <c:pt idx="16">
                  <c:v>7.1165918078616736E-3</c:v>
                </c:pt>
                <c:pt idx="17">
                  <c:v>6.9970463308302736E-3</c:v>
                </c:pt>
                <c:pt idx="18">
                  <c:v>6.8806108069618746E-3</c:v>
                </c:pt>
                <c:pt idx="19">
                  <c:v>6.7672852362564637E-3</c:v>
                </c:pt>
                <c:pt idx="20">
                  <c:v>6.6570696187140399E-3</c:v>
                </c:pt>
                <c:pt idx="21">
                  <c:v>6.5499639543346163E-3</c:v>
                </c:pt>
                <c:pt idx="22">
                  <c:v>6.4459682431181799E-3</c:v>
                </c:pt>
                <c:pt idx="23">
                  <c:v>6.3450824850647316E-3</c:v>
                </c:pt>
                <c:pt idx="24">
                  <c:v>6.2473066801742765E-3</c:v>
                </c:pt>
                <c:pt idx="25">
                  <c:v>6.1526408284468094E-3</c:v>
                </c:pt>
                <c:pt idx="26">
                  <c:v>6.0610849298823426E-3</c:v>
                </c:pt>
                <c:pt idx="27">
                  <c:v>5.9726389844808637E-3</c:v>
                </c:pt>
                <c:pt idx="28">
                  <c:v>5.8873029922423712E-3</c:v>
                </c:pt>
                <c:pt idx="29">
                  <c:v>5.8050769531668728E-3</c:v>
                </c:pt>
                <c:pt idx="30">
                  <c:v>5.7259608672543694E-3</c:v>
                </c:pt>
                <c:pt idx="31">
                  <c:v>5.6499547345048532E-3</c:v>
                </c:pt>
                <c:pt idx="32">
                  <c:v>5.5770585549183302E-3</c:v>
                </c:pt>
                <c:pt idx="33">
                  <c:v>5.5072723284947944E-3</c:v>
                </c:pt>
                <c:pt idx="34">
                  <c:v>5.4405960552342536E-3</c:v>
                </c:pt>
                <c:pt idx="35">
                  <c:v>5.377029735136706E-3</c:v>
                </c:pt>
                <c:pt idx="36">
                  <c:v>5.3165733682021456E-3</c:v>
                </c:pt>
                <c:pt idx="37">
                  <c:v>5.2592269544305802E-3</c:v>
                </c:pt>
                <c:pt idx="38">
                  <c:v>5.2049904938220089E-3</c:v>
                </c:pt>
                <c:pt idx="39">
                  <c:v>5.153863986376424E-3</c:v>
                </c:pt>
                <c:pt idx="40">
                  <c:v>5.1058474320938262E-3</c:v>
                </c:pt>
                <c:pt idx="41">
                  <c:v>5.0609408309742233E-3</c:v>
                </c:pt>
                <c:pt idx="42">
                  <c:v>5.0191441830176138E-3</c:v>
                </c:pt>
                <c:pt idx="43">
                  <c:v>4.9804574882239992E-3</c:v>
                </c:pt>
                <c:pt idx="44">
                  <c:v>4.9448807465933709E-3</c:v>
                </c:pt>
                <c:pt idx="45">
                  <c:v>4.9124139581257368E-3</c:v>
                </c:pt>
                <c:pt idx="46">
                  <c:v>4.8830571228210906E-3</c:v>
                </c:pt>
                <c:pt idx="47">
                  <c:v>4.8568102406794378E-3</c:v>
                </c:pt>
                <c:pt idx="48">
                  <c:v>4.8336733117007799E-3</c:v>
                </c:pt>
                <c:pt idx="49">
                  <c:v>4.8136463358851092E-3</c:v>
                </c:pt>
                <c:pt idx="50">
                  <c:v>4.7967293132324248E-3</c:v>
                </c:pt>
                <c:pt idx="51">
                  <c:v>4.7829222437427415E-3</c:v>
                </c:pt>
                <c:pt idx="52">
                  <c:v>4.7722251274160462E-3</c:v>
                </c:pt>
                <c:pt idx="53">
                  <c:v>4.7646379642523372E-3</c:v>
                </c:pt>
                <c:pt idx="54">
                  <c:v>4.7601607542516224E-3</c:v>
                </c:pt>
                <c:pt idx="55">
                  <c:v>4.7587934974139094E-3</c:v>
                </c:pt>
                <c:pt idx="56">
                  <c:v>4.7605361937391759E-3</c:v>
                </c:pt>
                <c:pt idx="57">
                  <c:v>4.7653888432274364E-3</c:v>
                </c:pt>
                <c:pt idx="58">
                  <c:v>4.773351445878685E-3</c:v>
                </c:pt>
                <c:pt idx="59">
                  <c:v>4.7844240016929346E-3</c:v>
                </c:pt>
                <c:pt idx="60">
                  <c:v>4.7986065106701645E-3</c:v>
                </c:pt>
                <c:pt idx="61">
                  <c:v>4.8158989728103946E-3</c:v>
                </c:pt>
                <c:pt idx="62">
                  <c:v>4.8363013881136049E-3</c:v>
                </c:pt>
                <c:pt idx="63">
                  <c:v>4.8598137565798241E-3</c:v>
                </c:pt>
                <c:pt idx="64">
                  <c:v>4.8864360782090235E-3</c:v>
                </c:pt>
                <c:pt idx="65">
                  <c:v>4.9161683530012084E-3</c:v>
                </c:pt>
                <c:pt idx="66">
                  <c:v>4.9490105809563961E-3</c:v>
                </c:pt>
                <c:pt idx="67">
                  <c:v>4.98496276207457E-3</c:v>
                </c:pt>
                <c:pt idx="68">
                  <c:v>5.0240248963557381E-3</c:v>
                </c:pt>
                <c:pt idx="69">
                  <c:v>5.0661969837998942E-3</c:v>
                </c:pt>
                <c:pt idx="70">
                  <c:v>5.1114790244070445E-3</c:v>
                </c:pt>
                <c:pt idx="71">
                  <c:v>5.159871018177181E-3</c:v>
                </c:pt>
                <c:pt idx="72">
                  <c:v>5.2113729651103126E-3</c:v>
                </c:pt>
                <c:pt idx="73">
                  <c:v>5.2659848652064373E-3</c:v>
                </c:pt>
                <c:pt idx="74">
                  <c:v>5.3237067184655432E-3</c:v>
                </c:pt>
                <c:pt idx="75">
                  <c:v>5.3845385248876563E-3</c:v>
                </c:pt>
                <c:pt idx="76">
                  <c:v>5.4484802844727495E-3</c:v>
                </c:pt>
                <c:pt idx="77">
                  <c:v>5.5155319972208378E-3</c:v>
                </c:pt>
                <c:pt idx="78">
                  <c:v>5.5856936631319192E-3</c:v>
                </c:pt>
                <c:pt idx="79">
                  <c:v>5.6589652822059949E-3</c:v>
                </c:pt>
                <c:pt idx="80">
                  <c:v>5.7353468544430516E-3</c:v>
                </c:pt>
              </c:numCache>
            </c:numRef>
          </c:val>
          <c:extLst>
            <c:ext xmlns:c16="http://schemas.microsoft.com/office/drawing/2014/chart" uri="{C3380CC4-5D6E-409C-BE32-E72D297353CC}">
              <c16:uniqueId val="{00000033-A84F-4AFF-90AD-1264CB609548}"/>
            </c:ext>
          </c:extLst>
        </c:ser>
        <c:ser>
          <c:idx val="52"/>
          <c:order val="52"/>
          <c:tx>
            <c:strRef>
              <c:f>Interpolation!$S$55</c:f>
              <c:strCache>
                <c:ptCount val="1"/>
                <c:pt idx="0">
                  <c:v>35.2</c:v>
                </c:pt>
              </c:strCache>
            </c:strRef>
          </c:tx>
          <c:spPr>
            <a:solidFill>
              <a:schemeClr val="accent5">
                <a:lumMod val="50000"/>
                <a:lumOff val="5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Interpolation!$T$55:$CV$55</c:f>
              <c:numCache>
                <c:formatCode>General</c:formatCode>
                <c:ptCount val="81"/>
                <c:pt idx="0">
                  <c:v>9.4549234949581028E-3</c:v>
                </c:pt>
                <c:pt idx="1">
                  <c:v>9.2855235367361125E-3</c:v>
                </c:pt>
                <c:pt idx="2">
                  <c:v>9.1192335316771164E-3</c:v>
                </c:pt>
                <c:pt idx="3">
                  <c:v>8.9560534797811162E-3</c:v>
                </c:pt>
                <c:pt idx="4">
                  <c:v>8.7959833810481065E-3</c:v>
                </c:pt>
                <c:pt idx="5">
                  <c:v>8.6390232354780806E-3</c:v>
                </c:pt>
                <c:pt idx="6">
                  <c:v>8.4851730430710471E-3</c:v>
                </c:pt>
                <c:pt idx="7">
                  <c:v>8.3344328038269938E-3</c:v>
                </c:pt>
                <c:pt idx="8">
                  <c:v>8.1868025177459485E-3</c:v>
                </c:pt>
                <c:pt idx="9">
                  <c:v>8.0422821848278973E-3</c:v>
                </c:pt>
                <c:pt idx="10">
                  <c:v>7.9008718050728264E-3</c:v>
                </c:pt>
                <c:pt idx="11">
                  <c:v>7.7625713784807496E-3</c:v>
                </c:pt>
                <c:pt idx="12">
                  <c:v>7.6273809050516669E-3</c:v>
                </c:pt>
                <c:pt idx="13">
                  <c:v>7.4953003847855783E-3</c:v>
                </c:pt>
                <c:pt idx="14">
                  <c:v>7.3663298176824699E-3</c:v>
                </c:pt>
                <c:pt idx="15">
                  <c:v>7.2404692037423626E-3</c:v>
                </c:pt>
                <c:pt idx="16">
                  <c:v>7.1177185429652425E-3</c:v>
                </c:pt>
                <c:pt idx="17">
                  <c:v>6.9980778353511096E-3</c:v>
                </c:pt>
                <c:pt idx="18">
                  <c:v>6.8815470808999777E-3</c:v>
                </c:pt>
                <c:pt idx="19">
                  <c:v>6.768126279611833E-3</c:v>
                </c:pt>
                <c:pt idx="20">
                  <c:v>6.6578154314866755E-3</c:v>
                </c:pt>
                <c:pt idx="21">
                  <c:v>6.550614536524519E-3</c:v>
                </c:pt>
                <c:pt idx="22">
                  <c:v>6.4465235947253497E-3</c:v>
                </c:pt>
                <c:pt idx="23">
                  <c:v>6.3455426060891676E-3</c:v>
                </c:pt>
                <c:pt idx="24">
                  <c:v>6.2476715706159796E-3</c:v>
                </c:pt>
                <c:pt idx="25">
                  <c:v>6.1529104883057796E-3</c:v>
                </c:pt>
                <c:pt idx="26">
                  <c:v>6.0612593591585799E-3</c:v>
                </c:pt>
                <c:pt idx="27">
                  <c:v>5.9727181831743673E-3</c:v>
                </c:pt>
                <c:pt idx="28">
                  <c:v>5.8872869603531419E-3</c:v>
                </c:pt>
                <c:pt idx="29">
                  <c:v>5.8049656906949106E-3</c:v>
                </c:pt>
                <c:pt idx="30">
                  <c:v>5.7257543741996734E-3</c:v>
                </c:pt>
                <c:pt idx="31">
                  <c:v>5.6496530108674234E-3</c:v>
                </c:pt>
                <c:pt idx="32">
                  <c:v>5.5766616006981684E-3</c:v>
                </c:pt>
                <c:pt idx="33">
                  <c:v>5.5067801436918988E-3</c:v>
                </c:pt>
                <c:pt idx="34">
                  <c:v>5.4400086398486243E-3</c:v>
                </c:pt>
                <c:pt idx="35">
                  <c:v>5.3763470891683447E-3</c:v>
                </c:pt>
                <c:pt idx="36">
                  <c:v>5.3157954916510514E-3</c:v>
                </c:pt>
                <c:pt idx="37">
                  <c:v>5.2583538472967522E-3</c:v>
                </c:pt>
                <c:pt idx="38">
                  <c:v>5.2040221561054471E-3</c:v>
                </c:pt>
                <c:pt idx="39">
                  <c:v>5.1528004180771293E-3</c:v>
                </c:pt>
                <c:pt idx="40">
                  <c:v>5.1046886332117986E-3</c:v>
                </c:pt>
                <c:pt idx="41">
                  <c:v>5.059686801509462E-3</c:v>
                </c:pt>
                <c:pt idx="42">
                  <c:v>5.0177949229701195E-3</c:v>
                </c:pt>
                <c:pt idx="43">
                  <c:v>4.9790129975937712E-3</c:v>
                </c:pt>
                <c:pt idx="44">
                  <c:v>4.94334102538041E-3</c:v>
                </c:pt>
                <c:pt idx="45">
                  <c:v>4.9107790063300429E-3</c:v>
                </c:pt>
                <c:pt idx="46">
                  <c:v>4.881326940442663E-3</c:v>
                </c:pt>
                <c:pt idx="47">
                  <c:v>4.8549848277182773E-3</c:v>
                </c:pt>
                <c:pt idx="48">
                  <c:v>4.8317526681568856E-3</c:v>
                </c:pt>
                <c:pt idx="49">
                  <c:v>4.8116304617584812E-3</c:v>
                </c:pt>
                <c:pt idx="50">
                  <c:v>4.7946182085230639E-3</c:v>
                </c:pt>
                <c:pt idx="51">
                  <c:v>4.7807159084506485E-3</c:v>
                </c:pt>
                <c:pt idx="52">
                  <c:v>4.7699235615412195E-3</c:v>
                </c:pt>
                <c:pt idx="53">
                  <c:v>4.7622411677947767E-3</c:v>
                </c:pt>
                <c:pt idx="54">
                  <c:v>4.7576687272113298E-3</c:v>
                </c:pt>
                <c:pt idx="55">
                  <c:v>4.7562062397908831E-3</c:v>
                </c:pt>
                <c:pt idx="56">
                  <c:v>4.7578537055334158E-3</c:v>
                </c:pt>
                <c:pt idx="57">
                  <c:v>4.7626111244389443E-3</c:v>
                </c:pt>
                <c:pt idx="58">
                  <c:v>4.7704784965074591E-3</c:v>
                </c:pt>
                <c:pt idx="59">
                  <c:v>4.7814558217389759E-3</c:v>
                </c:pt>
                <c:pt idx="60">
                  <c:v>4.795543100133472E-3</c:v>
                </c:pt>
                <c:pt idx="61">
                  <c:v>4.8127403316909692E-3</c:v>
                </c:pt>
                <c:pt idx="62">
                  <c:v>4.8330475164114466E-3</c:v>
                </c:pt>
                <c:pt idx="63">
                  <c:v>4.856464654294932E-3</c:v>
                </c:pt>
                <c:pt idx="64">
                  <c:v>4.8829917453413977E-3</c:v>
                </c:pt>
                <c:pt idx="65">
                  <c:v>4.9126287895508505E-3</c:v>
                </c:pt>
                <c:pt idx="66">
                  <c:v>4.9453757869233044E-3</c:v>
                </c:pt>
                <c:pt idx="67">
                  <c:v>4.9812327374587455E-3</c:v>
                </c:pt>
                <c:pt idx="68">
                  <c:v>5.0201996411571807E-3</c:v>
                </c:pt>
                <c:pt idx="69">
                  <c:v>5.062276498018603E-3</c:v>
                </c:pt>
                <c:pt idx="70">
                  <c:v>5.1074633080430195E-3</c:v>
                </c:pt>
                <c:pt idx="71">
                  <c:v>5.1557600712304232E-3</c:v>
                </c:pt>
                <c:pt idx="72">
                  <c:v>5.2071667875808209E-3</c:v>
                </c:pt>
                <c:pt idx="73">
                  <c:v>5.2616834570942128E-3</c:v>
                </c:pt>
                <c:pt idx="74">
                  <c:v>5.3193100797705858E-3</c:v>
                </c:pt>
                <c:pt idx="75">
                  <c:v>5.3800466556099651E-3</c:v>
                </c:pt>
                <c:pt idx="76">
                  <c:v>5.4438931846123254E-3</c:v>
                </c:pt>
                <c:pt idx="77">
                  <c:v>5.5108496667776799E-3</c:v>
                </c:pt>
                <c:pt idx="78">
                  <c:v>5.5809161021060285E-3</c:v>
                </c:pt>
                <c:pt idx="79">
                  <c:v>5.6540924905973712E-3</c:v>
                </c:pt>
                <c:pt idx="80">
                  <c:v>5.730378832251695E-3</c:v>
                </c:pt>
              </c:numCache>
            </c:numRef>
          </c:val>
          <c:extLst>
            <c:ext xmlns:c16="http://schemas.microsoft.com/office/drawing/2014/chart" uri="{C3380CC4-5D6E-409C-BE32-E72D297353CC}">
              <c16:uniqueId val="{00000034-A84F-4AFF-90AD-1264CB609548}"/>
            </c:ext>
          </c:extLst>
        </c:ser>
        <c:ser>
          <c:idx val="53"/>
          <c:order val="53"/>
          <c:tx>
            <c:strRef>
              <c:f>Interpolation!$S$56</c:f>
              <c:strCache>
                <c:ptCount val="1"/>
                <c:pt idx="0">
                  <c:v>35.3</c:v>
                </c:pt>
              </c:strCache>
            </c:strRef>
          </c:tx>
          <c:spPr>
            <a:solidFill>
              <a:schemeClr val="accent6">
                <a:lumMod val="50000"/>
                <a:lumOff val="5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Interpolation!$T$56:$CV$56</c:f>
              <c:numCache>
                <c:formatCode>General</c:formatCode>
                <c:ptCount val="81"/>
                <c:pt idx="0">
                  <c:v>9.458474373112237E-3</c:v>
                </c:pt>
                <c:pt idx="1">
                  <c:v>9.288979184307513E-3</c:v>
                </c:pt>
                <c:pt idx="2">
                  <c:v>9.1225939486657831E-3</c:v>
                </c:pt>
                <c:pt idx="3">
                  <c:v>8.9593186661870491E-3</c:v>
                </c:pt>
                <c:pt idx="4">
                  <c:v>8.7991533368713074E-3</c:v>
                </c:pt>
                <c:pt idx="5">
                  <c:v>8.642097960718546E-3</c:v>
                </c:pt>
                <c:pt idx="6">
                  <c:v>8.4881525377287805E-3</c:v>
                </c:pt>
                <c:pt idx="7">
                  <c:v>8.3373170679019934E-3</c:v>
                </c:pt>
                <c:pt idx="8">
                  <c:v>8.1895915512382143E-3</c:v>
                </c:pt>
                <c:pt idx="9">
                  <c:v>8.0449759877374311E-3</c:v>
                </c:pt>
                <c:pt idx="10">
                  <c:v>7.9034703773996264E-3</c:v>
                </c:pt>
                <c:pt idx="11">
                  <c:v>7.7650747202248167E-3</c:v>
                </c:pt>
                <c:pt idx="12">
                  <c:v>7.6297890162130011E-3</c:v>
                </c:pt>
                <c:pt idx="13">
                  <c:v>7.4976132653641787E-3</c:v>
                </c:pt>
                <c:pt idx="14">
                  <c:v>7.3685474676783375E-3</c:v>
                </c:pt>
                <c:pt idx="15">
                  <c:v>7.2425916231554973E-3</c:v>
                </c:pt>
                <c:pt idx="16">
                  <c:v>7.1197457317956443E-3</c:v>
                </c:pt>
                <c:pt idx="17">
                  <c:v>7.0000097935987776E-3</c:v>
                </c:pt>
                <c:pt idx="18">
                  <c:v>6.8833838085649128E-3</c:v>
                </c:pt>
                <c:pt idx="19">
                  <c:v>6.7698677766940352E-3</c:v>
                </c:pt>
                <c:pt idx="20">
                  <c:v>6.6594616979861448E-3</c:v>
                </c:pt>
                <c:pt idx="21">
                  <c:v>6.5521655724412545E-3</c:v>
                </c:pt>
                <c:pt idx="22">
                  <c:v>6.4479794000593523E-3</c:v>
                </c:pt>
                <c:pt idx="23">
                  <c:v>6.3469031808404373E-3</c:v>
                </c:pt>
                <c:pt idx="24">
                  <c:v>6.2489369147845156E-3</c:v>
                </c:pt>
                <c:pt idx="25">
                  <c:v>6.1540806018915819E-3</c:v>
                </c:pt>
                <c:pt idx="26">
                  <c:v>6.0623342421616492E-3</c:v>
                </c:pt>
                <c:pt idx="27">
                  <c:v>5.9736978355947028E-3</c:v>
                </c:pt>
                <c:pt idx="28">
                  <c:v>5.8881713821907445E-3</c:v>
                </c:pt>
                <c:pt idx="29">
                  <c:v>5.8057548819497803E-3</c:v>
                </c:pt>
                <c:pt idx="30">
                  <c:v>5.7264483348718094E-3</c:v>
                </c:pt>
                <c:pt idx="31">
                  <c:v>5.6502517409568274E-3</c:v>
                </c:pt>
                <c:pt idx="32">
                  <c:v>5.5771651002048377E-3</c:v>
                </c:pt>
                <c:pt idx="33">
                  <c:v>5.5071884126158361E-3</c:v>
                </c:pt>
                <c:pt idx="34">
                  <c:v>5.4403216781898278E-3</c:v>
                </c:pt>
                <c:pt idx="35">
                  <c:v>5.3765648969268144E-3</c:v>
                </c:pt>
                <c:pt idx="36">
                  <c:v>5.3159180688267882E-3</c:v>
                </c:pt>
                <c:pt idx="37">
                  <c:v>5.2583811938897562E-3</c:v>
                </c:pt>
                <c:pt idx="38">
                  <c:v>5.2039542721157173E-3</c:v>
                </c:pt>
                <c:pt idx="39">
                  <c:v>5.1526373035046666E-3</c:v>
                </c:pt>
                <c:pt idx="40">
                  <c:v>5.104430288056603E-3</c:v>
                </c:pt>
                <c:pt idx="41">
                  <c:v>5.0593332257715326E-3</c:v>
                </c:pt>
                <c:pt idx="42">
                  <c:v>5.0173461166494572E-3</c:v>
                </c:pt>
                <c:pt idx="43">
                  <c:v>4.978468960690376E-3</c:v>
                </c:pt>
                <c:pt idx="44">
                  <c:v>4.9427017578942811E-3</c:v>
                </c:pt>
                <c:pt idx="45">
                  <c:v>4.9100445082611811E-3</c:v>
                </c:pt>
                <c:pt idx="46">
                  <c:v>4.8804972117910683E-3</c:v>
                </c:pt>
                <c:pt idx="47">
                  <c:v>4.8540598684839497E-3</c:v>
                </c:pt>
                <c:pt idx="48">
                  <c:v>4.8307324783398251E-3</c:v>
                </c:pt>
                <c:pt idx="49">
                  <c:v>4.8105150413586869E-3</c:v>
                </c:pt>
                <c:pt idx="50">
                  <c:v>4.7934075575405367E-3</c:v>
                </c:pt>
                <c:pt idx="51">
                  <c:v>4.7794100268853876E-3</c:v>
                </c:pt>
                <c:pt idx="52">
                  <c:v>4.7685224493932248E-3</c:v>
                </c:pt>
                <c:pt idx="53">
                  <c:v>4.76074482506405E-3</c:v>
                </c:pt>
                <c:pt idx="54">
                  <c:v>4.7560771538978693E-3</c:v>
                </c:pt>
                <c:pt idx="55">
                  <c:v>4.7545194358946889E-3</c:v>
                </c:pt>
                <c:pt idx="56">
                  <c:v>4.7560716710544895E-3</c:v>
                </c:pt>
                <c:pt idx="57">
                  <c:v>4.7607338593772842E-3</c:v>
                </c:pt>
                <c:pt idx="58">
                  <c:v>4.7685060008630653E-3</c:v>
                </c:pt>
                <c:pt idx="59">
                  <c:v>4.7793880955118492E-3</c:v>
                </c:pt>
                <c:pt idx="60">
                  <c:v>4.7933801433236115E-3</c:v>
                </c:pt>
                <c:pt idx="61">
                  <c:v>4.8104821442983758E-3</c:v>
                </c:pt>
                <c:pt idx="62">
                  <c:v>4.8306940984361203E-3</c:v>
                </c:pt>
                <c:pt idx="63">
                  <c:v>4.854016005736872E-3</c:v>
                </c:pt>
                <c:pt idx="64">
                  <c:v>4.8804478662006047E-3</c:v>
                </c:pt>
                <c:pt idx="65">
                  <c:v>4.9099896798273247E-3</c:v>
                </c:pt>
                <c:pt idx="66">
                  <c:v>4.9426414466170448E-3</c:v>
                </c:pt>
                <c:pt idx="67">
                  <c:v>4.9784031665697521E-3</c:v>
                </c:pt>
                <c:pt idx="68">
                  <c:v>5.0172748396854552E-3</c:v>
                </c:pt>
                <c:pt idx="69">
                  <c:v>5.0592564659641438E-3</c:v>
                </c:pt>
                <c:pt idx="70">
                  <c:v>5.1043480454058274E-3</c:v>
                </c:pt>
                <c:pt idx="71">
                  <c:v>5.1525495780104982E-3</c:v>
                </c:pt>
                <c:pt idx="72">
                  <c:v>5.203861063778163E-3</c:v>
                </c:pt>
                <c:pt idx="73">
                  <c:v>5.258282502708822E-3</c:v>
                </c:pt>
                <c:pt idx="74">
                  <c:v>5.3158138948024604E-3</c:v>
                </c:pt>
                <c:pt idx="75">
                  <c:v>5.3764552400591067E-3</c:v>
                </c:pt>
                <c:pt idx="76">
                  <c:v>5.4402065384787351E-3</c:v>
                </c:pt>
                <c:pt idx="77">
                  <c:v>5.5070677900613558E-3</c:v>
                </c:pt>
                <c:pt idx="78">
                  <c:v>5.5770389948069706E-3</c:v>
                </c:pt>
                <c:pt idx="79">
                  <c:v>5.6501201527155813E-3</c:v>
                </c:pt>
                <c:pt idx="80">
                  <c:v>5.7263112637871705E-3</c:v>
                </c:pt>
              </c:numCache>
            </c:numRef>
          </c:val>
          <c:extLst>
            <c:ext xmlns:c16="http://schemas.microsoft.com/office/drawing/2014/chart" uri="{C3380CC4-5D6E-409C-BE32-E72D297353CC}">
              <c16:uniqueId val="{00000035-A84F-4AFF-90AD-1264CB609548}"/>
            </c:ext>
          </c:extLst>
        </c:ser>
        <c:ser>
          <c:idx val="54"/>
          <c:order val="54"/>
          <c:tx>
            <c:strRef>
              <c:f>Interpolation!$S$57</c:f>
              <c:strCache>
                <c:ptCount val="1"/>
                <c:pt idx="0">
                  <c:v>35.4</c:v>
                </c:pt>
              </c:strCache>
            </c:strRef>
          </c:tx>
          <c:spPr>
            <a:solidFill>
              <a:schemeClr val="accent1"/>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Interpolation!$T$57:$CV$57</c:f>
              <c:numCache>
                <c:formatCode>General</c:formatCode>
                <c:ptCount val="81"/>
                <c:pt idx="0">
                  <c:v>9.4629257049931737E-3</c:v>
                </c:pt>
                <c:pt idx="1">
                  <c:v>9.293335285605716E-3</c:v>
                </c:pt>
                <c:pt idx="2">
                  <c:v>9.126854819381254E-3</c:v>
                </c:pt>
                <c:pt idx="3">
                  <c:v>8.9634843063197862E-3</c:v>
                </c:pt>
                <c:pt idx="4">
                  <c:v>8.8032237464213108E-3</c:v>
                </c:pt>
                <c:pt idx="5">
                  <c:v>8.6460731396858174E-3</c:v>
                </c:pt>
                <c:pt idx="6">
                  <c:v>8.4920324861133181E-3</c:v>
                </c:pt>
                <c:pt idx="7">
                  <c:v>8.3411017857037972E-3</c:v>
                </c:pt>
                <c:pt idx="8">
                  <c:v>8.1932810384572861E-3</c:v>
                </c:pt>
                <c:pt idx="9">
                  <c:v>8.0485702443737692E-3</c:v>
                </c:pt>
                <c:pt idx="10">
                  <c:v>7.9069694034532307E-3</c:v>
                </c:pt>
                <c:pt idx="11">
                  <c:v>7.7684785156956881E-3</c:v>
                </c:pt>
                <c:pt idx="12">
                  <c:v>7.6330975811011396E-3</c:v>
                </c:pt>
                <c:pt idx="13">
                  <c:v>7.5008265996695843E-3</c:v>
                </c:pt>
                <c:pt idx="14">
                  <c:v>7.3716655714010093E-3</c:v>
                </c:pt>
                <c:pt idx="15">
                  <c:v>7.2456144962954362E-3</c:v>
                </c:pt>
                <c:pt idx="16">
                  <c:v>7.1226733743528494E-3</c:v>
                </c:pt>
                <c:pt idx="17">
                  <c:v>7.0028422055732498E-3</c:v>
                </c:pt>
                <c:pt idx="18">
                  <c:v>6.8861209899566522E-3</c:v>
                </c:pt>
                <c:pt idx="19">
                  <c:v>6.7725097275030408E-3</c:v>
                </c:pt>
                <c:pt idx="20">
                  <c:v>6.6620084182124166E-3</c:v>
                </c:pt>
                <c:pt idx="21">
                  <c:v>6.5546170620847943E-3</c:v>
                </c:pt>
                <c:pt idx="22">
                  <c:v>6.4503356591201584E-3</c:v>
                </c:pt>
                <c:pt idx="23">
                  <c:v>6.3491642093185096E-3</c:v>
                </c:pt>
                <c:pt idx="24">
                  <c:v>6.2511027126798558E-3</c:v>
                </c:pt>
                <c:pt idx="25">
                  <c:v>6.1561511692041883E-3</c:v>
                </c:pt>
                <c:pt idx="26">
                  <c:v>6.0643095788915219E-3</c:v>
                </c:pt>
                <c:pt idx="27">
                  <c:v>5.9755779417418435E-3</c:v>
                </c:pt>
                <c:pt idx="28">
                  <c:v>5.8899562577551514E-3</c:v>
                </c:pt>
                <c:pt idx="29">
                  <c:v>5.8074445269314535E-3</c:v>
                </c:pt>
                <c:pt idx="30">
                  <c:v>5.7280427492707505E-3</c:v>
                </c:pt>
                <c:pt idx="31">
                  <c:v>5.6517509247730338E-3</c:v>
                </c:pt>
                <c:pt idx="32">
                  <c:v>5.5785690534383122E-3</c:v>
                </c:pt>
                <c:pt idx="33">
                  <c:v>5.5084971352665768E-3</c:v>
                </c:pt>
                <c:pt idx="34">
                  <c:v>5.4415351702578356E-3</c:v>
                </c:pt>
                <c:pt idx="35">
                  <c:v>5.3776831584120884E-3</c:v>
                </c:pt>
                <c:pt idx="36">
                  <c:v>5.3169410997293293E-3</c:v>
                </c:pt>
                <c:pt idx="37">
                  <c:v>5.2593089942095635E-3</c:v>
                </c:pt>
                <c:pt idx="38">
                  <c:v>5.2047868418527918E-3</c:v>
                </c:pt>
                <c:pt idx="39">
                  <c:v>5.1533746426590081E-3</c:v>
                </c:pt>
                <c:pt idx="40">
                  <c:v>5.1050723966282107E-3</c:v>
                </c:pt>
                <c:pt idx="41">
                  <c:v>5.0598801037604075E-3</c:v>
                </c:pt>
                <c:pt idx="42">
                  <c:v>5.0177977640555992E-3</c:v>
                </c:pt>
                <c:pt idx="43">
                  <c:v>4.9788253775137842E-3</c:v>
                </c:pt>
                <c:pt idx="44">
                  <c:v>4.9429629441349564E-3</c:v>
                </c:pt>
                <c:pt idx="45">
                  <c:v>4.9102104639191235E-3</c:v>
                </c:pt>
                <c:pt idx="46">
                  <c:v>4.880567936866277E-3</c:v>
                </c:pt>
                <c:pt idx="47">
                  <c:v>4.8540353629764254E-3</c:v>
                </c:pt>
                <c:pt idx="48">
                  <c:v>4.8306127422495671E-3</c:v>
                </c:pt>
                <c:pt idx="49">
                  <c:v>4.8103000746856969E-3</c:v>
                </c:pt>
                <c:pt idx="50">
                  <c:v>4.793097360284812E-3</c:v>
                </c:pt>
                <c:pt idx="51">
                  <c:v>4.77900459904693E-3</c:v>
                </c:pt>
                <c:pt idx="52">
                  <c:v>4.7680217909720352E-3</c:v>
                </c:pt>
                <c:pt idx="53">
                  <c:v>4.7601489360601257E-3</c:v>
                </c:pt>
                <c:pt idx="54">
                  <c:v>4.7553860343112122E-3</c:v>
                </c:pt>
                <c:pt idx="55">
                  <c:v>4.7537330857252997E-3</c:v>
                </c:pt>
                <c:pt idx="56">
                  <c:v>4.7551900903023657E-3</c:v>
                </c:pt>
                <c:pt idx="57">
                  <c:v>4.7597570480424276E-3</c:v>
                </c:pt>
                <c:pt idx="58">
                  <c:v>4.7674339589454757E-3</c:v>
                </c:pt>
                <c:pt idx="59">
                  <c:v>4.7782208230115258E-3</c:v>
                </c:pt>
                <c:pt idx="60">
                  <c:v>4.7921176402405553E-3</c:v>
                </c:pt>
                <c:pt idx="61">
                  <c:v>4.8091244106325867E-3</c:v>
                </c:pt>
                <c:pt idx="62">
                  <c:v>4.8292411341875974E-3</c:v>
                </c:pt>
                <c:pt idx="63">
                  <c:v>4.8524678109056162E-3</c:v>
                </c:pt>
                <c:pt idx="64">
                  <c:v>4.878804440786616E-3</c:v>
                </c:pt>
                <c:pt idx="65">
                  <c:v>4.9082510238306013E-3</c:v>
                </c:pt>
                <c:pt idx="66">
                  <c:v>4.9408075600375894E-3</c:v>
                </c:pt>
                <c:pt idx="67">
                  <c:v>4.9764740494075638E-3</c:v>
                </c:pt>
                <c:pt idx="68">
                  <c:v>5.0152504919405323E-3</c:v>
                </c:pt>
                <c:pt idx="69">
                  <c:v>5.0571368876364889E-3</c:v>
                </c:pt>
                <c:pt idx="70">
                  <c:v>5.1021332364954396E-3</c:v>
                </c:pt>
                <c:pt idx="71">
                  <c:v>5.1502395385173757E-3</c:v>
                </c:pt>
                <c:pt idx="72">
                  <c:v>5.2014557937023077E-3</c:v>
                </c:pt>
                <c:pt idx="73">
                  <c:v>5.2557820020502338E-3</c:v>
                </c:pt>
                <c:pt idx="74">
                  <c:v>5.3132181635611401E-3</c:v>
                </c:pt>
                <c:pt idx="75">
                  <c:v>5.3737642782350527E-3</c:v>
                </c:pt>
                <c:pt idx="76">
                  <c:v>5.4374203460719472E-3</c:v>
                </c:pt>
                <c:pt idx="77">
                  <c:v>5.5041863670718351E-3</c:v>
                </c:pt>
                <c:pt idx="78">
                  <c:v>5.574062341234717E-3</c:v>
                </c:pt>
                <c:pt idx="79">
                  <c:v>5.6470482685605939E-3</c:v>
                </c:pt>
                <c:pt idx="80">
                  <c:v>5.7231441490494502E-3</c:v>
                </c:pt>
              </c:numCache>
            </c:numRef>
          </c:val>
          <c:extLst>
            <c:ext xmlns:c16="http://schemas.microsoft.com/office/drawing/2014/chart" uri="{C3380CC4-5D6E-409C-BE32-E72D297353CC}">
              <c16:uniqueId val="{00000036-A84F-4AFF-90AD-1264CB609548}"/>
            </c:ext>
          </c:extLst>
        </c:ser>
        <c:ser>
          <c:idx val="55"/>
          <c:order val="55"/>
          <c:tx>
            <c:strRef>
              <c:f>Interpolation!$S$58</c:f>
              <c:strCache>
                <c:ptCount val="1"/>
                <c:pt idx="0">
                  <c:v>35.5</c:v>
                </c:pt>
              </c:strCache>
            </c:strRef>
          </c:tx>
          <c:spPr>
            <a:solidFill>
              <a:schemeClr val="accent2"/>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Interpolation!$T$58:$CV$58</c:f>
              <c:numCache>
                <c:formatCode>General</c:formatCode>
                <c:ptCount val="81"/>
                <c:pt idx="0">
                  <c:v>9.4682774906009286E-3</c:v>
                </c:pt>
                <c:pt idx="1">
                  <c:v>9.2985918406307388E-3</c:v>
                </c:pt>
                <c:pt idx="2">
                  <c:v>9.1320161438235431E-3</c:v>
                </c:pt>
                <c:pt idx="3">
                  <c:v>8.9685504001793415E-3</c:v>
                </c:pt>
                <c:pt idx="4">
                  <c:v>8.8081946096981341E-3</c:v>
                </c:pt>
                <c:pt idx="5">
                  <c:v>8.6509487723799069E-3</c:v>
                </c:pt>
                <c:pt idx="6">
                  <c:v>8.4968128882246738E-3</c:v>
                </c:pt>
                <c:pt idx="7">
                  <c:v>8.3457869572324209E-3</c:v>
                </c:pt>
                <c:pt idx="8">
                  <c:v>8.1978709794031761E-3</c:v>
                </c:pt>
                <c:pt idx="9">
                  <c:v>8.0530649547369253E-3</c:v>
                </c:pt>
                <c:pt idx="10">
                  <c:v>7.9113688832336548E-3</c:v>
                </c:pt>
                <c:pt idx="11">
                  <c:v>7.7727827648933785E-3</c:v>
                </c:pt>
                <c:pt idx="12">
                  <c:v>7.6373065997160953E-3</c:v>
                </c:pt>
                <c:pt idx="13">
                  <c:v>7.5049403877018072E-3</c:v>
                </c:pt>
                <c:pt idx="14">
                  <c:v>7.3756841288504993E-3</c:v>
                </c:pt>
                <c:pt idx="15">
                  <c:v>7.2495378231621924E-3</c:v>
                </c:pt>
                <c:pt idx="16">
                  <c:v>7.1265014706368727E-3</c:v>
                </c:pt>
                <c:pt idx="17">
                  <c:v>7.0065750712745402E-3</c:v>
                </c:pt>
                <c:pt idx="18">
                  <c:v>6.8897586250752088E-3</c:v>
                </c:pt>
                <c:pt idx="19">
                  <c:v>6.7760521320388645E-3</c:v>
                </c:pt>
                <c:pt idx="20">
                  <c:v>6.6654555921655074E-3</c:v>
                </c:pt>
                <c:pt idx="21">
                  <c:v>6.5579690054551514E-3</c:v>
                </c:pt>
                <c:pt idx="22">
                  <c:v>6.4535923719077825E-3</c:v>
                </c:pt>
                <c:pt idx="23">
                  <c:v>6.3523256915234009E-3</c:v>
                </c:pt>
                <c:pt idx="24">
                  <c:v>6.2541689643020133E-3</c:v>
                </c:pt>
                <c:pt idx="25">
                  <c:v>6.1591221902436129E-3</c:v>
                </c:pt>
                <c:pt idx="26">
                  <c:v>6.0671853693482136E-3</c:v>
                </c:pt>
                <c:pt idx="27">
                  <c:v>5.9783585016158014E-3</c:v>
                </c:pt>
                <c:pt idx="28">
                  <c:v>5.8926415870463765E-3</c:v>
                </c:pt>
                <c:pt idx="29">
                  <c:v>5.8100346256399456E-3</c:v>
                </c:pt>
                <c:pt idx="30">
                  <c:v>5.7305376173965089E-3</c:v>
                </c:pt>
                <c:pt idx="31">
                  <c:v>5.6541505623160593E-3</c:v>
                </c:pt>
                <c:pt idx="32">
                  <c:v>5.5808734603986039E-3</c:v>
                </c:pt>
                <c:pt idx="33">
                  <c:v>5.5107063116441356E-3</c:v>
                </c:pt>
                <c:pt idx="34">
                  <c:v>5.4436491160526615E-3</c:v>
                </c:pt>
                <c:pt idx="35">
                  <c:v>5.3797018736241814E-3</c:v>
                </c:pt>
                <c:pt idx="36">
                  <c:v>5.3188645843586886E-3</c:v>
                </c:pt>
                <c:pt idx="37">
                  <c:v>5.2611372482561898E-3</c:v>
                </c:pt>
                <c:pt idx="38">
                  <c:v>5.2065198653166852E-3</c:v>
                </c:pt>
                <c:pt idx="39">
                  <c:v>5.1550124355401678E-3</c:v>
                </c:pt>
                <c:pt idx="40">
                  <c:v>5.1066149589266375E-3</c:v>
                </c:pt>
                <c:pt idx="41">
                  <c:v>5.0613274354761014E-3</c:v>
                </c:pt>
                <c:pt idx="42">
                  <c:v>5.0191498651885593E-3</c:v>
                </c:pt>
                <c:pt idx="43">
                  <c:v>4.9800822480640114E-3</c:v>
                </c:pt>
                <c:pt idx="44">
                  <c:v>4.9441245841024498E-3</c:v>
                </c:pt>
                <c:pt idx="45">
                  <c:v>4.9112768733038832E-3</c:v>
                </c:pt>
                <c:pt idx="46">
                  <c:v>4.8815391156683038E-3</c:v>
                </c:pt>
                <c:pt idx="47">
                  <c:v>4.8549113111957184E-3</c:v>
                </c:pt>
                <c:pt idx="48">
                  <c:v>4.8313934598861272E-3</c:v>
                </c:pt>
                <c:pt idx="49">
                  <c:v>4.8109855617395232E-3</c:v>
                </c:pt>
                <c:pt idx="50">
                  <c:v>4.7936876167559064E-3</c:v>
                </c:pt>
                <c:pt idx="51">
                  <c:v>4.7794996249352906E-3</c:v>
                </c:pt>
                <c:pt idx="52">
                  <c:v>4.768421586277662E-3</c:v>
                </c:pt>
                <c:pt idx="53">
                  <c:v>4.7604535007830205E-3</c:v>
                </c:pt>
                <c:pt idx="54">
                  <c:v>4.7555953684513732E-3</c:v>
                </c:pt>
                <c:pt idx="55">
                  <c:v>4.7538471892827269E-3</c:v>
                </c:pt>
                <c:pt idx="56">
                  <c:v>4.7552089632770609E-3</c:v>
                </c:pt>
                <c:pt idx="57">
                  <c:v>4.759680690434389E-3</c:v>
                </c:pt>
                <c:pt idx="58">
                  <c:v>4.7672623707547043E-3</c:v>
                </c:pt>
                <c:pt idx="59">
                  <c:v>4.7779540042380206E-3</c:v>
                </c:pt>
                <c:pt idx="60">
                  <c:v>4.7917555908843171E-3</c:v>
                </c:pt>
                <c:pt idx="61">
                  <c:v>4.8086671306936148E-3</c:v>
                </c:pt>
                <c:pt idx="62">
                  <c:v>4.8286886236658926E-3</c:v>
                </c:pt>
                <c:pt idx="63">
                  <c:v>4.8518200698011785E-3</c:v>
                </c:pt>
                <c:pt idx="64">
                  <c:v>4.8780614690994446E-3</c:v>
                </c:pt>
                <c:pt idx="65">
                  <c:v>4.9074128215606978E-3</c:v>
                </c:pt>
                <c:pt idx="66">
                  <c:v>4.9398741271849522E-3</c:v>
                </c:pt>
                <c:pt idx="67">
                  <c:v>4.9754453859721937E-3</c:v>
                </c:pt>
                <c:pt idx="68">
                  <c:v>5.0141265979224293E-3</c:v>
                </c:pt>
                <c:pt idx="69">
                  <c:v>5.0559177630356521E-3</c:v>
                </c:pt>
                <c:pt idx="70">
                  <c:v>5.100818881311869E-3</c:v>
                </c:pt>
                <c:pt idx="71">
                  <c:v>5.1488299527510731E-3</c:v>
                </c:pt>
                <c:pt idx="72">
                  <c:v>5.1999509773532713E-3</c:v>
                </c:pt>
                <c:pt idx="73">
                  <c:v>5.2541819551184636E-3</c:v>
                </c:pt>
                <c:pt idx="74">
                  <c:v>5.3115228860466362E-3</c:v>
                </c:pt>
                <c:pt idx="75">
                  <c:v>5.3719737701378167E-3</c:v>
                </c:pt>
                <c:pt idx="76">
                  <c:v>5.4355346073919775E-3</c:v>
                </c:pt>
                <c:pt idx="77">
                  <c:v>5.5022053978091325E-3</c:v>
                </c:pt>
                <c:pt idx="78">
                  <c:v>5.5719861413892815E-3</c:v>
                </c:pt>
                <c:pt idx="79">
                  <c:v>5.6448768381324246E-3</c:v>
                </c:pt>
                <c:pt idx="80">
                  <c:v>5.720877488038548E-3</c:v>
                </c:pt>
              </c:numCache>
            </c:numRef>
          </c:val>
          <c:extLst>
            <c:ext xmlns:c16="http://schemas.microsoft.com/office/drawing/2014/chart" uri="{C3380CC4-5D6E-409C-BE32-E72D297353CC}">
              <c16:uniqueId val="{00000037-A84F-4AFF-90AD-1264CB609548}"/>
            </c:ext>
          </c:extLst>
        </c:ser>
        <c:ser>
          <c:idx val="56"/>
          <c:order val="56"/>
          <c:tx>
            <c:strRef>
              <c:f>Interpolation!$S$59</c:f>
              <c:strCache>
                <c:ptCount val="1"/>
                <c:pt idx="0">
                  <c:v>35.6</c:v>
                </c:pt>
              </c:strCache>
            </c:strRef>
          </c:tx>
          <c:spPr>
            <a:solidFill>
              <a:schemeClr val="accent3"/>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Interpolation!$T$59:$CV$59</c:f>
              <c:numCache>
                <c:formatCode>General</c:formatCode>
                <c:ptCount val="81"/>
                <c:pt idx="0">
                  <c:v>9.4745297299355085E-3</c:v>
                </c:pt>
                <c:pt idx="1">
                  <c:v>9.3047488493825849E-3</c:v>
                </c:pt>
                <c:pt idx="2">
                  <c:v>9.1380779219926572E-3</c:v>
                </c:pt>
                <c:pt idx="3">
                  <c:v>8.9745169477657219E-3</c:v>
                </c:pt>
                <c:pt idx="4">
                  <c:v>8.8140659267017807E-3</c:v>
                </c:pt>
                <c:pt idx="5">
                  <c:v>8.6567248588008214E-3</c:v>
                </c:pt>
                <c:pt idx="6">
                  <c:v>8.5024937440628546E-3</c:v>
                </c:pt>
                <c:pt idx="7">
                  <c:v>8.351372582487868E-3</c:v>
                </c:pt>
                <c:pt idx="8">
                  <c:v>8.2033613740758893E-3</c:v>
                </c:pt>
                <c:pt idx="9">
                  <c:v>8.0584601188269066E-3</c:v>
                </c:pt>
                <c:pt idx="10">
                  <c:v>7.9166688167409023E-3</c:v>
                </c:pt>
                <c:pt idx="11">
                  <c:v>7.777987467817893E-3</c:v>
                </c:pt>
                <c:pt idx="12">
                  <c:v>7.642416072057877E-3</c:v>
                </c:pt>
                <c:pt idx="13">
                  <c:v>7.5099546294608559E-3</c:v>
                </c:pt>
                <c:pt idx="14">
                  <c:v>7.3806031400268143E-3</c:v>
                </c:pt>
                <c:pt idx="15">
                  <c:v>7.2543616037557745E-3</c:v>
                </c:pt>
                <c:pt idx="16">
                  <c:v>7.1312300206477219E-3</c:v>
                </c:pt>
                <c:pt idx="17">
                  <c:v>7.0112083907026557E-3</c:v>
                </c:pt>
                <c:pt idx="18">
                  <c:v>6.8942967139205913E-3</c:v>
                </c:pt>
                <c:pt idx="19">
                  <c:v>6.7804949903015142E-3</c:v>
                </c:pt>
                <c:pt idx="20">
                  <c:v>6.6698032198454233E-3</c:v>
                </c:pt>
                <c:pt idx="21">
                  <c:v>6.5622214025523344E-3</c:v>
                </c:pt>
                <c:pt idx="22">
                  <c:v>6.4577495384222318E-3</c:v>
                </c:pt>
                <c:pt idx="23">
                  <c:v>6.3563876274551172E-3</c:v>
                </c:pt>
                <c:pt idx="24">
                  <c:v>6.2581356696509959E-3</c:v>
                </c:pt>
                <c:pt idx="25">
                  <c:v>6.1629936650098626E-3</c:v>
                </c:pt>
                <c:pt idx="26">
                  <c:v>6.0709616135317303E-3</c:v>
                </c:pt>
                <c:pt idx="27">
                  <c:v>5.9820395152165844E-3</c:v>
                </c:pt>
                <c:pt idx="28">
                  <c:v>5.8962273700644266E-3</c:v>
                </c:pt>
                <c:pt idx="29">
                  <c:v>5.8135251780752628E-3</c:v>
                </c:pt>
                <c:pt idx="30">
                  <c:v>5.7339329392490923E-3</c:v>
                </c:pt>
                <c:pt idx="31">
                  <c:v>5.6574506535859099E-3</c:v>
                </c:pt>
                <c:pt idx="32">
                  <c:v>5.5840783210857215E-3</c:v>
                </c:pt>
                <c:pt idx="33">
                  <c:v>5.5138159417485195E-3</c:v>
                </c:pt>
                <c:pt idx="34">
                  <c:v>5.4466635155743116E-3</c:v>
                </c:pt>
                <c:pt idx="35">
                  <c:v>5.3826210425630986E-3</c:v>
                </c:pt>
                <c:pt idx="36">
                  <c:v>5.3216885227148729E-3</c:v>
                </c:pt>
                <c:pt idx="37">
                  <c:v>5.2638659560296404E-3</c:v>
                </c:pt>
                <c:pt idx="38">
                  <c:v>5.2091533425074029E-3</c:v>
                </c:pt>
                <c:pt idx="39">
                  <c:v>5.1575506821481525E-3</c:v>
                </c:pt>
                <c:pt idx="40">
                  <c:v>5.1090579749518885E-3</c:v>
                </c:pt>
                <c:pt idx="41">
                  <c:v>5.0636752209186195E-3</c:v>
                </c:pt>
                <c:pt idx="42">
                  <c:v>5.0214024200483445E-3</c:v>
                </c:pt>
                <c:pt idx="43">
                  <c:v>4.9822395723410628E-3</c:v>
                </c:pt>
                <c:pt idx="44">
                  <c:v>4.9461866777967683E-3</c:v>
                </c:pt>
                <c:pt idx="45">
                  <c:v>4.9132437364154688E-3</c:v>
                </c:pt>
                <c:pt idx="46">
                  <c:v>4.8834107481971565E-3</c:v>
                </c:pt>
                <c:pt idx="47">
                  <c:v>4.8566877131418374E-3</c:v>
                </c:pt>
                <c:pt idx="48">
                  <c:v>4.8330746312495133E-3</c:v>
                </c:pt>
                <c:pt idx="49">
                  <c:v>4.8125715025201764E-3</c:v>
                </c:pt>
                <c:pt idx="50">
                  <c:v>4.7951783269538258E-3</c:v>
                </c:pt>
                <c:pt idx="51">
                  <c:v>4.7808951045504771E-3</c:v>
                </c:pt>
                <c:pt idx="52">
                  <c:v>4.7697218353101156E-3</c:v>
                </c:pt>
                <c:pt idx="53">
                  <c:v>4.7616585192327403E-3</c:v>
                </c:pt>
                <c:pt idx="54">
                  <c:v>4.7567051563183593E-3</c:v>
                </c:pt>
                <c:pt idx="55">
                  <c:v>4.754861746566981E-3</c:v>
                </c:pt>
                <c:pt idx="56">
                  <c:v>4.7561282899785812E-3</c:v>
                </c:pt>
                <c:pt idx="57">
                  <c:v>4.7605047865531755E-3</c:v>
                </c:pt>
                <c:pt idx="58">
                  <c:v>4.767991236290757E-3</c:v>
                </c:pt>
                <c:pt idx="59">
                  <c:v>4.7785876391913413E-3</c:v>
                </c:pt>
                <c:pt idx="60">
                  <c:v>4.7922939952549041E-3</c:v>
                </c:pt>
                <c:pt idx="61">
                  <c:v>4.8091103044814688E-3</c:v>
                </c:pt>
                <c:pt idx="62">
                  <c:v>4.8290365668710138E-3</c:v>
                </c:pt>
                <c:pt idx="63">
                  <c:v>4.8520727824235658E-3</c:v>
                </c:pt>
                <c:pt idx="64">
                  <c:v>4.878218951139099E-3</c:v>
                </c:pt>
                <c:pt idx="65">
                  <c:v>4.9074750730176185E-3</c:v>
                </c:pt>
                <c:pt idx="66">
                  <c:v>4.93984114805914E-3</c:v>
                </c:pt>
                <c:pt idx="67">
                  <c:v>4.9753171762636477E-3</c:v>
                </c:pt>
                <c:pt idx="68">
                  <c:v>5.0139031576311504E-3</c:v>
                </c:pt>
                <c:pt idx="69">
                  <c:v>5.0555990921616403E-3</c:v>
                </c:pt>
                <c:pt idx="70">
                  <c:v>5.1004049798551235E-3</c:v>
                </c:pt>
                <c:pt idx="71">
                  <c:v>5.1483208207115938E-3</c:v>
                </c:pt>
                <c:pt idx="72">
                  <c:v>5.19934661473106E-3</c:v>
                </c:pt>
                <c:pt idx="73">
                  <c:v>5.2534823619135185E-3</c:v>
                </c:pt>
                <c:pt idx="74">
                  <c:v>5.3107280622589582E-3</c:v>
                </c:pt>
                <c:pt idx="75">
                  <c:v>5.371083715767405E-3</c:v>
                </c:pt>
                <c:pt idx="76">
                  <c:v>5.4345493224388329E-3</c:v>
                </c:pt>
                <c:pt idx="77">
                  <c:v>5.5011248822732541E-3</c:v>
                </c:pt>
                <c:pt idx="78">
                  <c:v>5.5708103952706702E-3</c:v>
                </c:pt>
                <c:pt idx="79">
                  <c:v>5.6436058614310804E-3</c:v>
                </c:pt>
                <c:pt idx="80">
                  <c:v>5.7195112807544701E-3</c:v>
                </c:pt>
              </c:numCache>
            </c:numRef>
          </c:val>
          <c:extLst>
            <c:ext xmlns:c16="http://schemas.microsoft.com/office/drawing/2014/chart" uri="{C3380CC4-5D6E-409C-BE32-E72D297353CC}">
              <c16:uniqueId val="{00000038-A84F-4AFF-90AD-1264CB609548}"/>
            </c:ext>
          </c:extLst>
        </c:ser>
        <c:ser>
          <c:idx val="57"/>
          <c:order val="57"/>
          <c:tx>
            <c:strRef>
              <c:f>Interpolation!$S$60</c:f>
              <c:strCache>
                <c:ptCount val="1"/>
                <c:pt idx="0">
                  <c:v>35.7</c:v>
                </c:pt>
              </c:strCache>
            </c:strRef>
          </c:tx>
          <c:spPr>
            <a:solidFill>
              <a:schemeClr val="accent4"/>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Interpolation!$T$60:$CV$60</c:f>
              <c:numCache>
                <c:formatCode>General</c:formatCode>
                <c:ptCount val="81"/>
                <c:pt idx="0">
                  <c:v>9.4816824229968996E-3</c:v>
                </c:pt>
                <c:pt idx="1">
                  <c:v>9.311806311861244E-3</c:v>
                </c:pt>
                <c:pt idx="2">
                  <c:v>9.1450401538885808E-3</c:v>
                </c:pt>
                <c:pt idx="3">
                  <c:v>8.9813839490789135E-3</c:v>
                </c:pt>
                <c:pt idx="4">
                  <c:v>8.8208376974322402E-3</c:v>
                </c:pt>
                <c:pt idx="5">
                  <c:v>8.6634013989485455E-3</c:v>
                </c:pt>
                <c:pt idx="6">
                  <c:v>8.5090750536278466E-3</c:v>
                </c:pt>
                <c:pt idx="7">
                  <c:v>8.3578586614701262E-3</c:v>
                </c:pt>
                <c:pt idx="8">
                  <c:v>8.2097522224754155E-3</c:v>
                </c:pt>
                <c:pt idx="9">
                  <c:v>8.064755736643699E-3</c:v>
                </c:pt>
                <c:pt idx="10">
                  <c:v>7.922869203974961E-3</c:v>
                </c:pt>
                <c:pt idx="11">
                  <c:v>7.7840926244692188E-3</c:v>
                </c:pt>
                <c:pt idx="12">
                  <c:v>7.6484259981264699E-3</c:v>
                </c:pt>
                <c:pt idx="13">
                  <c:v>7.515869324946715E-3</c:v>
                </c:pt>
                <c:pt idx="14">
                  <c:v>7.3864226049299413E-3</c:v>
                </c:pt>
                <c:pt idx="15">
                  <c:v>7.2600858380761678E-3</c:v>
                </c:pt>
                <c:pt idx="16">
                  <c:v>7.1368590243853815E-3</c:v>
                </c:pt>
                <c:pt idx="17">
                  <c:v>7.0167421638575823E-3</c:v>
                </c:pt>
                <c:pt idx="18">
                  <c:v>6.8997352564927842E-3</c:v>
                </c:pt>
                <c:pt idx="19">
                  <c:v>6.7858383022909741E-3</c:v>
                </c:pt>
                <c:pt idx="20">
                  <c:v>6.6750513012521504E-3</c:v>
                </c:pt>
                <c:pt idx="21">
                  <c:v>6.5673742533763277E-3</c:v>
                </c:pt>
                <c:pt idx="22">
                  <c:v>6.462807158663493E-3</c:v>
                </c:pt>
                <c:pt idx="23">
                  <c:v>6.3613500171136438E-3</c:v>
                </c:pt>
                <c:pt idx="24">
                  <c:v>6.2630028287267905E-3</c:v>
                </c:pt>
                <c:pt idx="25">
                  <c:v>6.1677655935029234E-3</c:v>
                </c:pt>
                <c:pt idx="26">
                  <c:v>6.0756383114420574E-3</c:v>
                </c:pt>
                <c:pt idx="27">
                  <c:v>5.9866209825441795E-3</c:v>
                </c:pt>
                <c:pt idx="28">
                  <c:v>5.9007136068092879E-3</c:v>
                </c:pt>
                <c:pt idx="29">
                  <c:v>5.8179161842373903E-3</c:v>
                </c:pt>
                <c:pt idx="30">
                  <c:v>5.7382287148284869E-3</c:v>
                </c:pt>
                <c:pt idx="31">
                  <c:v>5.6616511985825716E-3</c:v>
                </c:pt>
                <c:pt idx="32">
                  <c:v>5.5881836354996495E-3</c:v>
                </c:pt>
                <c:pt idx="33">
                  <c:v>5.5178260255797145E-3</c:v>
                </c:pt>
                <c:pt idx="34">
                  <c:v>5.4505783688227737E-3</c:v>
                </c:pt>
                <c:pt idx="35">
                  <c:v>5.3864406652288279E-3</c:v>
                </c:pt>
                <c:pt idx="36">
                  <c:v>5.3254129147978684E-3</c:v>
                </c:pt>
                <c:pt idx="37">
                  <c:v>5.267495117529903E-3</c:v>
                </c:pt>
                <c:pt idx="38">
                  <c:v>5.2126872734249317E-3</c:v>
                </c:pt>
                <c:pt idx="39">
                  <c:v>5.1609893824829476E-3</c:v>
                </c:pt>
                <c:pt idx="40">
                  <c:v>5.1124014447039515E-3</c:v>
                </c:pt>
                <c:pt idx="41">
                  <c:v>5.0669234600879487E-3</c:v>
                </c:pt>
                <c:pt idx="42">
                  <c:v>5.02455542863494E-3</c:v>
                </c:pt>
                <c:pt idx="43">
                  <c:v>4.9852973503449255E-3</c:v>
                </c:pt>
                <c:pt idx="44">
                  <c:v>4.9491492252178981E-3</c:v>
                </c:pt>
                <c:pt idx="45">
                  <c:v>4.9161110532538656E-3</c:v>
                </c:pt>
                <c:pt idx="46">
                  <c:v>4.8861828344528195E-3</c:v>
                </c:pt>
                <c:pt idx="47">
                  <c:v>4.8593645688147676E-3</c:v>
                </c:pt>
                <c:pt idx="48">
                  <c:v>4.8356562563397106E-3</c:v>
                </c:pt>
                <c:pt idx="49">
                  <c:v>4.8150578970276399E-3</c:v>
                </c:pt>
                <c:pt idx="50">
                  <c:v>4.7975694908785563E-3</c:v>
                </c:pt>
                <c:pt idx="51">
                  <c:v>4.7831910378924748E-3</c:v>
                </c:pt>
                <c:pt idx="52">
                  <c:v>4.7719225380693786E-3</c:v>
                </c:pt>
                <c:pt idx="53">
                  <c:v>4.7637639914092714E-3</c:v>
                </c:pt>
                <c:pt idx="54">
                  <c:v>4.7587153979121574E-3</c:v>
                </c:pt>
                <c:pt idx="55">
                  <c:v>4.7567767575780445E-3</c:v>
                </c:pt>
                <c:pt idx="56">
                  <c:v>4.7579480704069118E-3</c:v>
                </c:pt>
                <c:pt idx="57">
                  <c:v>4.7622293363987732E-3</c:v>
                </c:pt>
                <c:pt idx="58">
                  <c:v>4.7696205555536227E-3</c:v>
                </c:pt>
                <c:pt idx="59">
                  <c:v>4.7801217278714732E-3</c:v>
                </c:pt>
                <c:pt idx="60">
                  <c:v>4.7937328533523022E-3</c:v>
                </c:pt>
                <c:pt idx="61">
                  <c:v>4.810453931996134E-3</c:v>
                </c:pt>
                <c:pt idx="62">
                  <c:v>4.8302849638029452E-3</c:v>
                </c:pt>
                <c:pt idx="63">
                  <c:v>4.8532259487727644E-3</c:v>
                </c:pt>
                <c:pt idx="64">
                  <c:v>4.8792768869055647E-3</c:v>
                </c:pt>
                <c:pt idx="65">
                  <c:v>4.9084377782013505E-3</c:v>
                </c:pt>
                <c:pt idx="66">
                  <c:v>4.940708622660139E-3</c:v>
                </c:pt>
                <c:pt idx="67">
                  <c:v>4.976089420281913E-3</c:v>
                </c:pt>
                <c:pt idx="68">
                  <c:v>5.0145801710666828E-3</c:v>
                </c:pt>
                <c:pt idx="69">
                  <c:v>5.0561808750144389E-3</c:v>
                </c:pt>
                <c:pt idx="70">
                  <c:v>5.1008915321251892E-3</c:v>
                </c:pt>
                <c:pt idx="71">
                  <c:v>5.1487121423989275E-3</c:v>
                </c:pt>
                <c:pt idx="72">
                  <c:v>5.1996427058356599E-3</c:v>
                </c:pt>
                <c:pt idx="73">
                  <c:v>5.2536832224353847E-3</c:v>
                </c:pt>
                <c:pt idx="74">
                  <c:v>5.3108336921980914E-3</c:v>
                </c:pt>
                <c:pt idx="75">
                  <c:v>5.3710941151238045E-3</c:v>
                </c:pt>
                <c:pt idx="76">
                  <c:v>5.4344644912124995E-3</c:v>
                </c:pt>
                <c:pt idx="77">
                  <c:v>5.5009448204641877E-3</c:v>
                </c:pt>
                <c:pt idx="78">
                  <c:v>5.5705351028788701E-3</c:v>
                </c:pt>
                <c:pt idx="79">
                  <c:v>5.6432353384565474E-3</c:v>
                </c:pt>
                <c:pt idx="80">
                  <c:v>5.7190455271972042E-3</c:v>
                </c:pt>
              </c:numCache>
            </c:numRef>
          </c:val>
          <c:extLst>
            <c:ext xmlns:c16="http://schemas.microsoft.com/office/drawing/2014/chart" uri="{C3380CC4-5D6E-409C-BE32-E72D297353CC}">
              <c16:uniqueId val="{00000039-A84F-4AFF-90AD-1264CB609548}"/>
            </c:ext>
          </c:extLst>
        </c:ser>
        <c:ser>
          <c:idx val="58"/>
          <c:order val="58"/>
          <c:tx>
            <c:strRef>
              <c:f>Interpolation!$S$61</c:f>
              <c:strCache>
                <c:ptCount val="1"/>
                <c:pt idx="0">
                  <c:v>35.8</c:v>
                </c:pt>
              </c:strCache>
            </c:strRef>
          </c:tx>
          <c:spPr>
            <a:solidFill>
              <a:schemeClr val="accent5"/>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Interpolation!$T$61:$CV$61</c:f>
              <c:numCache>
                <c:formatCode>General</c:formatCode>
                <c:ptCount val="81"/>
                <c:pt idx="0">
                  <c:v>9.4897355697851158E-3</c:v>
                </c:pt>
                <c:pt idx="1">
                  <c:v>9.3197642280667264E-3</c:v>
                </c:pt>
                <c:pt idx="2">
                  <c:v>9.1529028395113312E-3</c:v>
                </c:pt>
                <c:pt idx="3">
                  <c:v>8.9891514041189301E-3</c:v>
                </c:pt>
                <c:pt idx="4">
                  <c:v>8.8285099218895231E-3</c:v>
                </c:pt>
                <c:pt idx="5">
                  <c:v>8.6709783928230963E-3</c:v>
                </c:pt>
                <c:pt idx="6">
                  <c:v>8.5165568169196636E-3</c:v>
                </c:pt>
                <c:pt idx="7">
                  <c:v>8.3652451941792112E-3</c:v>
                </c:pt>
                <c:pt idx="8">
                  <c:v>8.2170435246017668E-3</c:v>
                </c:pt>
                <c:pt idx="9">
                  <c:v>8.0719518081873165E-3</c:v>
                </c:pt>
                <c:pt idx="10">
                  <c:v>7.9299700449358464E-3</c:v>
                </c:pt>
                <c:pt idx="11">
                  <c:v>7.7910982348473696E-3</c:v>
                </c:pt>
                <c:pt idx="12">
                  <c:v>7.6553363779218878E-3</c:v>
                </c:pt>
                <c:pt idx="13">
                  <c:v>7.5226844741594001E-3</c:v>
                </c:pt>
                <c:pt idx="14">
                  <c:v>7.3931425235598926E-3</c:v>
                </c:pt>
                <c:pt idx="15">
                  <c:v>7.2667105261233862E-3</c:v>
                </c:pt>
                <c:pt idx="16">
                  <c:v>7.1433884818498669E-3</c:v>
                </c:pt>
                <c:pt idx="17">
                  <c:v>7.023176390739334E-3</c:v>
                </c:pt>
                <c:pt idx="18">
                  <c:v>6.906074252791803E-3</c:v>
                </c:pt>
                <c:pt idx="19">
                  <c:v>6.7920820680072592E-3</c:v>
                </c:pt>
                <c:pt idx="20">
                  <c:v>6.6811998363857025E-3</c:v>
                </c:pt>
                <c:pt idx="21">
                  <c:v>6.5734275579271469E-3</c:v>
                </c:pt>
                <c:pt idx="22">
                  <c:v>6.4687652326315785E-3</c:v>
                </c:pt>
                <c:pt idx="23">
                  <c:v>6.3672128604989973E-3</c:v>
                </c:pt>
                <c:pt idx="24">
                  <c:v>6.2687704415294102E-3</c:v>
                </c:pt>
                <c:pt idx="25">
                  <c:v>6.1734379757228102E-3</c:v>
                </c:pt>
                <c:pt idx="26">
                  <c:v>6.0812154630792113E-3</c:v>
                </c:pt>
                <c:pt idx="27">
                  <c:v>5.9921029035985987E-3</c:v>
                </c:pt>
                <c:pt idx="28">
                  <c:v>5.9061002972809742E-3</c:v>
                </c:pt>
                <c:pt idx="29">
                  <c:v>5.8232076441263438E-3</c:v>
                </c:pt>
                <c:pt idx="30">
                  <c:v>5.7434249441347075E-3</c:v>
                </c:pt>
                <c:pt idx="31">
                  <c:v>5.6667521973060584E-3</c:v>
                </c:pt>
                <c:pt idx="32">
                  <c:v>5.5931894036404034E-3</c:v>
                </c:pt>
                <c:pt idx="33">
                  <c:v>5.5227365631377347E-3</c:v>
                </c:pt>
                <c:pt idx="34">
                  <c:v>5.455393675798061E-3</c:v>
                </c:pt>
                <c:pt idx="35">
                  <c:v>5.3911607416213814E-3</c:v>
                </c:pt>
                <c:pt idx="36">
                  <c:v>5.330037760607689E-3</c:v>
                </c:pt>
                <c:pt idx="37">
                  <c:v>5.2720247327569907E-3</c:v>
                </c:pt>
                <c:pt idx="38">
                  <c:v>5.2171216580692865E-3</c:v>
                </c:pt>
                <c:pt idx="39">
                  <c:v>5.1653285365445695E-3</c:v>
                </c:pt>
                <c:pt idx="40">
                  <c:v>5.1166453681828396E-3</c:v>
                </c:pt>
                <c:pt idx="41">
                  <c:v>5.0710721529841039E-3</c:v>
                </c:pt>
                <c:pt idx="42">
                  <c:v>5.0286088909483615E-3</c:v>
                </c:pt>
                <c:pt idx="43">
                  <c:v>4.989255582075614E-3</c:v>
                </c:pt>
                <c:pt idx="44">
                  <c:v>4.9530122263658537E-3</c:v>
                </c:pt>
                <c:pt idx="45">
                  <c:v>4.9198788238190875E-3</c:v>
                </c:pt>
                <c:pt idx="46">
                  <c:v>4.8898553744353077E-3</c:v>
                </c:pt>
                <c:pt idx="47">
                  <c:v>4.8629418782145236E-3</c:v>
                </c:pt>
                <c:pt idx="48">
                  <c:v>4.839138335156732E-3</c:v>
                </c:pt>
                <c:pt idx="49">
                  <c:v>4.8184447452619284E-3</c:v>
                </c:pt>
                <c:pt idx="50">
                  <c:v>4.800861108530112E-3</c:v>
                </c:pt>
                <c:pt idx="51">
                  <c:v>4.7863874249612966E-3</c:v>
                </c:pt>
                <c:pt idx="52">
                  <c:v>4.7750236945554685E-3</c:v>
                </c:pt>
                <c:pt idx="53">
                  <c:v>4.7667699173126275E-3</c:v>
                </c:pt>
                <c:pt idx="54">
                  <c:v>4.7616260932327806E-3</c:v>
                </c:pt>
                <c:pt idx="55">
                  <c:v>4.7595922223159347E-3</c:v>
                </c:pt>
                <c:pt idx="56">
                  <c:v>4.7606683045620683E-3</c:v>
                </c:pt>
                <c:pt idx="57">
                  <c:v>4.7648543399711968E-3</c:v>
                </c:pt>
                <c:pt idx="58">
                  <c:v>4.7721503285433125E-3</c:v>
                </c:pt>
                <c:pt idx="59">
                  <c:v>4.7825562702784302E-3</c:v>
                </c:pt>
                <c:pt idx="60">
                  <c:v>4.7960721651765263E-3</c:v>
                </c:pt>
                <c:pt idx="61">
                  <c:v>4.8126980132376243E-3</c:v>
                </c:pt>
                <c:pt idx="62">
                  <c:v>4.8324338144617026E-3</c:v>
                </c:pt>
                <c:pt idx="63">
                  <c:v>4.8552795688487889E-3</c:v>
                </c:pt>
                <c:pt idx="64">
                  <c:v>4.8812352763988546E-3</c:v>
                </c:pt>
                <c:pt idx="65">
                  <c:v>4.9103009371119083E-3</c:v>
                </c:pt>
                <c:pt idx="66">
                  <c:v>4.9424765509879631E-3</c:v>
                </c:pt>
                <c:pt idx="67">
                  <c:v>4.977762118027005E-3</c:v>
                </c:pt>
                <c:pt idx="68">
                  <c:v>5.0161576382290411E-3</c:v>
                </c:pt>
                <c:pt idx="69">
                  <c:v>5.0576631115940643E-3</c:v>
                </c:pt>
                <c:pt idx="70">
                  <c:v>5.1022785381220816E-3</c:v>
                </c:pt>
                <c:pt idx="71">
                  <c:v>5.1500039178130862E-3</c:v>
                </c:pt>
                <c:pt idx="72">
                  <c:v>5.2008392506670848E-3</c:v>
                </c:pt>
                <c:pt idx="73">
                  <c:v>5.2547845366840776E-3</c:v>
                </c:pt>
                <c:pt idx="74">
                  <c:v>5.3118397758640506E-3</c:v>
                </c:pt>
                <c:pt idx="75">
                  <c:v>5.3720049682070307E-3</c:v>
                </c:pt>
                <c:pt idx="76">
                  <c:v>5.4352801137129911E-3</c:v>
                </c:pt>
                <c:pt idx="77">
                  <c:v>5.5016652123819464E-3</c:v>
                </c:pt>
                <c:pt idx="78">
                  <c:v>5.5711602642138959E-3</c:v>
                </c:pt>
                <c:pt idx="79">
                  <c:v>5.6437652692088395E-3</c:v>
                </c:pt>
                <c:pt idx="80">
                  <c:v>5.7194802273667633E-3</c:v>
                </c:pt>
              </c:numCache>
            </c:numRef>
          </c:val>
          <c:extLst>
            <c:ext xmlns:c16="http://schemas.microsoft.com/office/drawing/2014/chart" uri="{C3380CC4-5D6E-409C-BE32-E72D297353CC}">
              <c16:uniqueId val="{0000003A-A84F-4AFF-90AD-1264CB609548}"/>
            </c:ext>
          </c:extLst>
        </c:ser>
        <c:ser>
          <c:idx val="59"/>
          <c:order val="59"/>
          <c:tx>
            <c:strRef>
              <c:f>Interpolation!$S$62</c:f>
              <c:strCache>
                <c:ptCount val="1"/>
                <c:pt idx="0">
                  <c:v>35.9</c:v>
                </c:pt>
              </c:strCache>
            </c:strRef>
          </c:tx>
          <c:spPr>
            <a:solidFill>
              <a:schemeClr val="accent6"/>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Interpolation!$T$62:$CV$62</c:f>
              <c:numCache>
                <c:formatCode>General</c:formatCode>
                <c:ptCount val="81"/>
                <c:pt idx="0">
                  <c:v>9.4986891703001432E-3</c:v>
                </c:pt>
                <c:pt idx="1">
                  <c:v>9.3286225979990218E-3</c:v>
                </c:pt>
                <c:pt idx="2">
                  <c:v>9.1616659788608928E-3</c:v>
                </c:pt>
                <c:pt idx="3">
                  <c:v>8.9978193128857579E-3</c:v>
                </c:pt>
                <c:pt idx="4">
                  <c:v>8.8370826000736171E-3</c:v>
                </c:pt>
                <c:pt idx="5">
                  <c:v>8.6794558404244583E-3</c:v>
                </c:pt>
                <c:pt idx="6">
                  <c:v>8.5249390339382919E-3</c:v>
                </c:pt>
                <c:pt idx="7">
                  <c:v>8.3735321806151057E-3</c:v>
                </c:pt>
                <c:pt idx="8">
                  <c:v>8.2252352804549275E-3</c:v>
                </c:pt>
                <c:pt idx="9">
                  <c:v>8.0800483334577452E-3</c:v>
                </c:pt>
                <c:pt idx="10">
                  <c:v>7.9379713396235414E-3</c:v>
                </c:pt>
                <c:pt idx="11">
                  <c:v>7.7990042989523325E-3</c:v>
                </c:pt>
                <c:pt idx="12">
                  <c:v>7.6631472114441169E-3</c:v>
                </c:pt>
                <c:pt idx="13">
                  <c:v>7.5304000770988963E-3</c:v>
                </c:pt>
                <c:pt idx="14">
                  <c:v>7.4007628959166551E-3</c:v>
                </c:pt>
                <c:pt idx="15">
                  <c:v>7.2742356678974149E-3</c:v>
                </c:pt>
                <c:pt idx="16">
                  <c:v>7.1508183930411627E-3</c:v>
                </c:pt>
                <c:pt idx="17">
                  <c:v>7.0305110713478969E-3</c:v>
                </c:pt>
                <c:pt idx="18">
                  <c:v>6.913313702817633E-3</c:v>
                </c:pt>
                <c:pt idx="19">
                  <c:v>6.7992262874503554E-3</c:v>
                </c:pt>
                <c:pt idx="20">
                  <c:v>6.6882488252460659E-3</c:v>
                </c:pt>
                <c:pt idx="21">
                  <c:v>6.5803813162047774E-3</c:v>
                </c:pt>
                <c:pt idx="22">
                  <c:v>6.4756237603264752E-3</c:v>
                </c:pt>
                <c:pt idx="23">
                  <c:v>6.3739761576111602E-3</c:v>
                </c:pt>
                <c:pt idx="24">
                  <c:v>6.2754385080588402E-3</c:v>
                </c:pt>
                <c:pt idx="25">
                  <c:v>6.1800108116695073E-3</c:v>
                </c:pt>
                <c:pt idx="26">
                  <c:v>6.0876930684431747E-3</c:v>
                </c:pt>
                <c:pt idx="27">
                  <c:v>5.9984852783798301E-3</c:v>
                </c:pt>
                <c:pt idx="28">
                  <c:v>5.9123874414794718E-3</c:v>
                </c:pt>
                <c:pt idx="29">
                  <c:v>5.8293995577421076E-3</c:v>
                </c:pt>
                <c:pt idx="30">
                  <c:v>5.7495216271677384E-3</c:v>
                </c:pt>
                <c:pt idx="31">
                  <c:v>5.6727536497563564E-3</c:v>
                </c:pt>
                <c:pt idx="32">
                  <c:v>5.5990956255079676E-3</c:v>
                </c:pt>
                <c:pt idx="33">
                  <c:v>5.5285475544225669E-3</c:v>
                </c:pt>
                <c:pt idx="34">
                  <c:v>5.4611094365001594E-3</c:v>
                </c:pt>
                <c:pt idx="35">
                  <c:v>5.396781271740746E-3</c:v>
                </c:pt>
                <c:pt idx="36">
                  <c:v>5.3355630601443207E-3</c:v>
                </c:pt>
                <c:pt idx="37">
                  <c:v>5.2774548017108895E-3</c:v>
                </c:pt>
                <c:pt idx="38">
                  <c:v>5.2224564964404516E-3</c:v>
                </c:pt>
                <c:pt idx="39">
                  <c:v>5.1705681443330008E-3</c:v>
                </c:pt>
                <c:pt idx="40">
                  <c:v>5.1217897453885381E-3</c:v>
                </c:pt>
                <c:pt idx="41">
                  <c:v>5.0761212996070695E-3</c:v>
                </c:pt>
                <c:pt idx="42">
                  <c:v>5.0335628069885941E-3</c:v>
                </c:pt>
                <c:pt idx="43">
                  <c:v>4.9941142675331129E-3</c:v>
                </c:pt>
                <c:pt idx="44">
                  <c:v>4.9577756812406197E-3</c:v>
                </c:pt>
                <c:pt idx="45">
                  <c:v>4.9245470481111197E-3</c:v>
                </c:pt>
                <c:pt idx="46">
                  <c:v>4.8944283681446078E-3</c:v>
                </c:pt>
                <c:pt idx="47">
                  <c:v>4.8674196413410892E-3</c:v>
                </c:pt>
                <c:pt idx="48">
                  <c:v>4.8435208677005655E-3</c:v>
                </c:pt>
                <c:pt idx="49">
                  <c:v>4.822732047223029E-3</c:v>
                </c:pt>
                <c:pt idx="50">
                  <c:v>4.8050531799084788E-3</c:v>
                </c:pt>
                <c:pt idx="51">
                  <c:v>4.7904842657569297E-3</c:v>
                </c:pt>
                <c:pt idx="52">
                  <c:v>4.7790253047683686E-3</c:v>
                </c:pt>
                <c:pt idx="53">
                  <c:v>4.7706762969427947E-3</c:v>
                </c:pt>
                <c:pt idx="54">
                  <c:v>4.7654372422802141E-3</c:v>
                </c:pt>
                <c:pt idx="55">
                  <c:v>4.7633081407806345E-3</c:v>
                </c:pt>
                <c:pt idx="56">
                  <c:v>4.7642889924440351E-3</c:v>
                </c:pt>
                <c:pt idx="57">
                  <c:v>4.7683797972704308E-3</c:v>
                </c:pt>
                <c:pt idx="58">
                  <c:v>4.7755805552598136E-3</c:v>
                </c:pt>
                <c:pt idx="59">
                  <c:v>4.7858912664121966E-3</c:v>
                </c:pt>
                <c:pt idx="60">
                  <c:v>4.7993119307275607E-3</c:v>
                </c:pt>
                <c:pt idx="61">
                  <c:v>4.8158425482059258E-3</c:v>
                </c:pt>
                <c:pt idx="62">
                  <c:v>4.8354831188472704E-3</c:v>
                </c:pt>
                <c:pt idx="63">
                  <c:v>4.8582336426516229E-3</c:v>
                </c:pt>
                <c:pt idx="64">
                  <c:v>4.8840941196189574E-3</c:v>
                </c:pt>
                <c:pt idx="65">
                  <c:v>4.9130645497492765E-3</c:v>
                </c:pt>
                <c:pt idx="66">
                  <c:v>4.9451449330425983E-3</c:v>
                </c:pt>
                <c:pt idx="67">
                  <c:v>4.9803352694989065E-3</c:v>
                </c:pt>
                <c:pt idx="68">
                  <c:v>5.0186355591182088E-3</c:v>
                </c:pt>
                <c:pt idx="69">
                  <c:v>5.0600458019005E-3</c:v>
                </c:pt>
                <c:pt idx="70">
                  <c:v>5.1045659978457836E-3</c:v>
                </c:pt>
                <c:pt idx="71">
                  <c:v>5.1521961469540543E-3</c:v>
                </c:pt>
                <c:pt idx="72">
                  <c:v>5.202936249225321E-3</c:v>
                </c:pt>
                <c:pt idx="73">
                  <c:v>5.25678630465958E-3</c:v>
                </c:pt>
                <c:pt idx="74">
                  <c:v>5.3137463132568192E-3</c:v>
                </c:pt>
                <c:pt idx="75">
                  <c:v>5.3738162750170664E-3</c:v>
                </c:pt>
                <c:pt idx="76">
                  <c:v>5.4369961899402948E-3</c:v>
                </c:pt>
                <c:pt idx="77">
                  <c:v>5.5032860580265172E-3</c:v>
                </c:pt>
                <c:pt idx="78">
                  <c:v>5.5726858792757329E-3</c:v>
                </c:pt>
                <c:pt idx="79">
                  <c:v>5.6451956536879427E-3</c:v>
                </c:pt>
                <c:pt idx="80">
                  <c:v>5.7208153812631337E-3</c:v>
                </c:pt>
              </c:numCache>
            </c:numRef>
          </c:val>
          <c:extLst>
            <c:ext xmlns:c16="http://schemas.microsoft.com/office/drawing/2014/chart" uri="{C3380CC4-5D6E-409C-BE32-E72D297353CC}">
              <c16:uniqueId val="{0000003B-A84F-4AFF-90AD-1264CB609548}"/>
            </c:ext>
          </c:extLst>
        </c:ser>
        <c:ser>
          <c:idx val="60"/>
          <c:order val="60"/>
          <c:tx>
            <c:strRef>
              <c:f>Interpolation!$S$63</c:f>
              <c:strCache>
                <c:ptCount val="1"/>
                <c:pt idx="0">
                  <c:v>36</c:v>
                </c:pt>
              </c:strCache>
            </c:strRef>
          </c:tx>
          <c:spPr>
            <a:solidFill>
              <a:schemeClr val="accent1">
                <a:lumMod val="6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Interpolation!$T$63:$CV$63</c:f>
              <c:numCache>
                <c:formatCode>General</c:formatCode>
                <c:ptCount val="81"/>
                <c:pt idx="0">
                  <c:v>9.5085432245419904E-3</c:v>
                </c:pt>
                <c:pt idx="1">
                  <c:v>9.3383814216581335E-3</c:v>
                </c:pt>
                <c:pt idx="2">
                  <c:v>9.1713295719372725E-3</c:v>
                </c:pt>
                <c:pt idx="3">
                  <c:v>9.0073876753794038E-3</c:v>
                </c:pt>
                <c:pt idx="4">
                  <c:v>8.846555731984531E-3</c:v>
                </c:pt>
                <c:pt idx="5">
                  <c:v>8.6888337417526385E-3</c:v>
                </c:pt>
                <c:pt idx="6">
                  <c:v>8.5342217046837383E-3</c:v>
                </c:pt>
                <c:pt idx="7">
                  <c:v>8.3827196207778201E-3</c:v>
                </c:pt>
                <c:pt idx="8">
                  <c:v>8.2343274900349081E-3</c:v>
                </c:pt>
                <c:pt idx="9">
                  <c:v>8.089045312454992E-3</c:v>
                </c:pt>
                <c:pt idx="10">
                  <c:v>7.9468730880380544E-3</c:v>
                </c:pt>
                <c:pt idx="11">
                  <c:v>7.8078108167841127E-3</c:v>
                </c:pt>
                <c:pt idx="12">
                  <c:v>7.6718584986931642E-3</c:v>
                </c:pt>
                <c:pt idx="13">
                  <c:v>7.5390161337652098E-3</c:v>
                </c:pt>
                <c:pt idx="14">
                  <c:v>7.4092837220002357E-3</c:v>
                </c:pt>
                <c:pt idx="15">
                  <c:v>7.2826612633982626E-3</c:v>
                </c:pt>
                <c:pt idx="16">
                  <c:v>7.1591487579592767E-3</c:v>
                </c:pt>
                <c:pt idx="17">
                  <c:v>7.0387462056832779E-3</c:v>
                </c:pt>
                <c:pt idx="18">
                  <c:v>6.9214536065702811E-3</c:v>
                </c:pt>
                <c:pt idx="19">
                  <c:v>6.8072709606202706E-3</c:v>
                </c:pt>
                <c:pt idx="20">
                  <c:v>6.6961982678332473E-3</c:v>
                </c:pt>
                <c:pt idx="21">
                  <c:v>6.5882355282092251E-3</c:v>
                </c:pt>
                <c:pt idx="22">
                  <c:v>6.48338274174819E-3</c:v>
                </c:pt>
                <c:pt idx="23">
                  <c:v>6.3816399084501421E-3</c:v>
                </c:pt>
                <c:pt idx="24">
                  <c:v>6.2830070283150883E-3</c:v>
                </c:pt>
                <c:pt idx="25">
                  <c:v>6.1874841013430226E-3</c:v>
                </c:pt>
                <c:pt idx="26">
                  <c:v>6.095071127533957E-3</c:v>
                </c:pt>
                <c:pt idx="27">
                  <c:v>6.0057681068878786E-3</c:v>
                </c:pt>
                <c:pt idx="28">
                  <c:v>5.9195750394047874E-3</c:v>
                </c:pt>
                <c:pt idx="29">
                  <c:v>5.8364919250846903E-3</c:v>
                </c:pt>
                <c:pt idx="30">
                  <c:v>5.7565187639275874E-3</c:v>
                </c:pt>
                <c:pt idx="31">
                  <c:v>5.6796555559334716E-3</c:v>
                </c:pt>
                <c:pt idx="32">
                  <c:v>5.6059023011023508E-3</c:v>
                </c:pt>
                <c:pt idx="33">
                  <c:v>5.5352589994342154E-3</c:v>
                </c:pt>
                <c:pt idx="34">
                  <c:v>5.4677256509290759E-3</c:v>
                </c:pt>
                <c:pt idx="35">
                  <c:v>5.4033022555869297E-3</c:v>
                </c:pt>
                <c:pt idx="36">
                  <c:v>5.3419888134077706E-3</c:v>
                </c:pt>
                <c:pt idx="37">
                  <c:v>5.2837853243916056E-3</c:v>
                </c:pt>
                <c:pt idx="38">
                  <c:v>5.2286917885384348E-3</c:v>
                </c:pt>
                <c:pt idx="39">
                  <c:v>5.1767082058482511E-3</c:v>
                </c:pt>
                <c:pt idx="40">
                  <c:v>5.1278345763210546E-3</c:v>
                </c:pt>
                <c:pt idx="41">
                  <c:v>5.0820708999568531E-3</c:v>
                </c:pt>
                <c:pt idx="42">
                  <c:v>5.0394171767556449E-3</c:v>
                </c:pt>
                <c:pt idx="43">
                  <c:v>4.9998734067174307E-3</c:v>
                </c:pt>
                <c:pt idx="44">
                  <c:v>4.9634395898422038E-3</c:v>
                </c:pt>
                <c:pt idx="45">
                  <c:v>4.9301157261299709E-3</c:v>
                </c:pt>
                <c:pt idx="46">
                  <c:v>4.8999018155807253E-3</c:v>
                </c:pt>
                <c:pt idx="47">
                  <c:v>4.8727978581944737E-3</c:v>
                </c:pt>
                <c:pt idx="48">
                  <c:v>4.8488038539712171E-3</c:v>
                </c:pt>
                <c:pt idx="49">
                  <c:v>4.827919802910946E-3</c:v>
                </c:pt>
                <c:pt idx="50">
                  <c:v>4.8101457050136638E-3</c:v>
                </c:pt>
                <c:pt idx="51">
                  <c:v>4.7954815602793818E-3</c:v>
                </c:pt>
                <c:pt idx="52">
                  <c:v>4.7839273687080869E-3</c:v>
                </c:pt>
                <c:pt idx="53">
                  <c:v>4.7754831302997793E-3</c:v>
                </c:pt>
                <c:pt idx="54">
                  <c:v>4.7701488450544657E-3</c:v>
                </c:pt>
                <c:pt idx="55">
                  <c:v>4.7679245129721541E-3</c:v>
                </c:pt>
                <c:pt idx="56">
                  <c:v>4.768810134052821E-3</c:v>
                </c:pt>
                <c:pt idx="57">
                  <c:v>4.7728057082964837E-3</c:v>
                </c:pt>
                <c:pt idx="58">
                  <c:v>4.7799112357031319E-3</c:v>
                </c:pt>
                <c:pt idx="59">
                  <c:v>4.7901267162727829E-3</c:v>
                </c:pt>
                <c:pt idx="60">
                  <c:v>4.8034521500054141E-3</c:v>
                </c:pt>
                <c:pt idx="61">
                  <c:v>4.8198875369010446E-3</c:v>
                </c:pt>
                <c:pt idx="62">
                  <c:v>4.8394328769596571E-3</c:v>
                </c:pt>
                <c:pt idx="63">
                  <c:v>4.8620881701812758E-3</c:v>
                </c:pt>
                <c:pt idx="64">
                  <c:v>4.8878534165658766E-3</c:v>
                </c:pt>
                <c:pt idx="65">
                  <c:v>4.9167286161134627E-3</c:v>
                </c:pt>
                <c:pt idx="66">
                  <c:v>4.9487137688240517E-3</c:v>
                </c:pt>
                <c:pt idx="67">
                  <c:v>4.9838088746976261E-3</c:v>
                </c:pt>
                <c:pt idx="68">
                  <c:v>5.0220139337341964E-3</c:v>
                </c:pt>
                <c:pt idx="69">
                  <c:v>5.063328945933753E-3</c:v>
                </c:pt>
                <c:pt idx="70">
                  <c:v>5.1077539112963036E-3</c:v>
                </c:pt>
                <c:pt idx="71">
                  <c:v>5.1552888298218424E-3</c:v>
                </c:pt>
                <c:pt idx="72">
                  <c:v>5.2059337015103744E-3</c:v>
                </c:pt>
                <c:pt idx="73">
                  <c:v>5.2596885263619005E-3</c:v>
                </c:pt>
                <c:pt idx="74">
                  <c:v>5.3165533043764077E-3</c:v>
                </c:pt>
                <c:pt idx="75">
                  <c:v>5.3765280355539211E-3</c:v>
                </c:pt>
                <c:pt idx="76">
                  <c:v>5.4396127198944157E-3</c:v>
                </c:pt>
                <c:pt idx="77">
                  <c:v>5.5058073573979044E-3</c:v>
                </c:pt>
                <c:pt idx="78">
                  <c:v>5.5751119480643881E-3</c:v>
                </c:pt>
                <c:pt idx="79">
                  <c:v>5.6475264918938641E-3</c:v>
                </c:pt>
                <c:pt idx="80">
                  <c:v>5.7230509888863221E-3</c:v>
                </c:pt>
              </c:numCache>
            </c:numRef>
          </c:val>
          <c:extLst>
            <c:ext xmlns:c16="http://schemas.microsoft.com/office/drawing/2014/chart" uri="{C3380CC4-5D6E-409C-BE32-E72D297353CC}">
              <c16:uniqueId val="{0000003C-A84F-4AFF-90AD-1264CB609548}"/>
            </c:ext>
          </c:extLst>
        </c:ser>
        <c:ser>
          <c:idx val="61"/>
          <c:order val="61"/>
          <c:tx>
            <c:strRef>
              <c:f>Interpolation!$S$64</c:f>
              <c:strCache>
                <c:ptCount val="1"/>
                <c:pt idx="0">
                  <c:v>36.1</c:v>
                </c:pt>
              </c:strCache>
            </c:strRef>
          </c:tx>
          <c:spPr>
            <a:solidFill>
              <a:schemeClr val="accent2">
                <a:lumMod val="6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Interpolation!$T$64:$CV$64</c:f>
              <c:numCache>
                <c:formatCode>General</c:formatCode>
                <c:ptCount val="81"/>
                <c:pt idx="0">
                  <c:v>9.5192977325106471E-3</c:v>
                </c:pt>
                <c:pt idx="1">
                  <c:v>9.3490406990440582E-3</c:v>
                </c:pt>
                <c:pt idx="2">
                  <c:v>9.1818936187404634E-3</c:v>
                </c:pt>
                <c:pt idx="3">
                  <c:v>9.017856491599861E-3</c:v>
                </c:pt>
                <c:pt idx="4">
                  <c:v>8.8569293176222544E-3</c:v>
                </c:pt>
                <c:pt idx="5">
                  <c:v>8.6991120968076281E-3</c:v>
                </c:pt>
                <c:pt idx="6">
                  <c:v>8.5444048291559958E-3</c:v>
                </c:pt>
                <c:pt idx="7">
                  <c:v>8.3928075146673439E-3</c:v>
                </c:pt>
                <c:pt idx="8">
                  <c:v>8.2443201533416999E-3</c:v>
                </c:pt>
                <c:pt idx="9">
                  <c:v>8.09894274517905E-3</c:v>
                </c:pt>
                <c:pt idx="10">
                  <c:v>7.9566752901793804E-3</c:v>
                </c:pt>
                <c:pt idx="11">
                  <c:v>7.8175177883427031E-3</c:v>
                </c:pt>
                <c:pt idx="12">
                  <c:v>7.6814702396690226E-3</c:v>
                </c:pt>
                <c:pt idx="13">
                  <c:v>7.5485326441583345E-3</c:v>
                </c:pt>
                <c:pt idx="14">
                  <c:v>7.4187050018106274E-3</c:v>
                </c:pt>
                <c:pt idx="15">
                  <c:v>7.2919873126259215E-3</c:v>
                </c:pt>
                <c:pt idx="16">
                  <c:v>7.1683795766042026E-3</c:v>
                </c:pt>
                <c:pt idx="17">
                  <c:v>7.0478817937454702E-3</c:v>
                </c:pt>
                <c:pt idx="18">
                  <c:v>6.9304939640497396E-3</c:v>
                </c:pt>
                <c:pt idx="19">
                  <c:v>6.8162160875169962E-3</c:v>
                </c:pt>
                <c:pt idx="20">
                  <c:v>6.70504816414724E-3</c:v>
                </c:pt>
                <c:pt idx="21">
                  <c:v>6.596990193940484E-3</c:v>
                </c:pt>
                <c:pt idx="22">
                  <c:v>6.492042176896716E-3</c:v>
                </c:pt>
                <c:pt idx="23">
                  <c:v>6.3902041130159352E-3</c:v>
                </c:pt>
                <c:pt idx="24">
                  <c:v>6.2914760022981485E-3</c:v>
                </c:pt>
                <c:pt idx="25">
                  <c:v>6.195857844743349E-3</c:v>
                </c:pt>
                <c:pt idx="26">
                  <c:v>6.1033496403515505E-3</c:v>
                </c:pt>
                <c:pt idx="27">
                  <c:v>6.0139513891227384E-3</c:v>
                </c:pt>
                <c:pt idx="28">
                  <c:v>5.9276630910569143E-3</c:v>
                </c:pt>
                <c:pt idx="29">
                  <c:v>5.8444847461540834E-3</c:v>
                </c:pt>
                <c:pt idx="30">
                  <c:v>5.7644163544142476E-3</c:v>
                </c:pt>
                <c:pt idx="31">
                  <c:v>5.6874579158373989E-3</c:v>
                </c:pt>
                <c:pt idx="32">
                  <c:v>5.6136094304235443E-3</c:v>
                </c:pt>
                <c:pt idx="33">
                  <c:v>5.5428708981726769E-3</c:v>
                </c:pt>
                <c:pt idx="34">
                  <c:v>5.4752423190848028E-3</c:v>
                </c:pt>
                <c:pt idx="35">
                  <c:v>5.4107236931599237E-3</c:v>
                </c:pt>
                <c:pt idx="36">
                  <c:v>5.3493150203980317E-3</c:v>
                </c:pt>
                <c:pt idx="37">
                  <c:v>5.2910163007991338E-3</c:v>
                </c:pt>
                <c:pt idx="38">
                  <c:v>5.2358275343632292E-3</c:v>
                </c:pt>
                <c:pt idx="39">
                  <c:v>5.1837487210903126E-3</c:v>
                </c:pt>
                <c:pt idx="40">
                  <c:v>5.1347798609803832E-3</c:v>
                </c:pt>
                <c:pt idx="41">
                  <c:v>5.088920954033448E-3</c:v>
                </c:pt>
                <c:pt idx="42">
                  <c:v>5.0461720002495068E-3</c:v>
                </c:pt>
                <c:pt idx="43">
                  <c:v>5.0065329996285589E-3</c:v>
                </c:pt>
                <c:pt idx="44">
                  <c:v>4.9700039521705991E-3</c:v>
                </c:pt>
                <c:pt idx="45">
                  <c:v>4.9365848578756324E-3</c:v>
                </c:pt>
                <c:pt idx="46">
                  <c:v>4.9062757167436539E-3</c:v>
                </c:pt>
                <c:pt idx="47">
                  <c:v>4.8790765287746694E-3</c:v>
                </c:pt>
                <c:pt idx="48">
                  <c:v>4.8549872939686791E-3</c:v>
                </c:pt>
                <c:pt idx="49">
                  <c:v>4.834008012325676E-3</c:v>
                </c:pt>
                <c:pt idx="50">
                  <c:v>4.81613868384566E-3</c:v>
                </c:pt>
                <c:pt idx="51">
                  <c:v>4.8013793085286451E-3</c:v>
                </c:pt>
                <c:pt idx="52">
                  <c:v>4.7897298863746164E-3</c:v>
                </c:pt>
                <c:pt idx="53">
                  <c:v>4.781190417383575E-3</c:v>
                </c:pt>
                <c:pt idx="54">
                  <c:v>4.7757609015555286E-3</c:v>
                </c:pt>
                <c:pt idx="55">
                  <c:v>4.7734413388904832E-3</c:v>
                </c:pt>
                <c:pt idx="56">
                  <c:v>4.774231729388418E-3</c:v>
                </c:pt>
                <c:pt idx="57">
                  <c:v>4.778132073049347E-3</c:v>
                </c:pt>
                <c:pt idx="58">
                  <c:v>4.7851423698732631E-3</c:v>
                </c:pt>
                <c:pt idx="59">
                  <c:v>4.7952626198601803E-3</c:v>
                </c:pt>
                <c:pt idx="60">
                  <c:v>4.8084928230100778E-3</c:v>
                </c:pt>
                <c:pt idx="61">
                  <c:v>4.8248329793229754E-3</c:v>
                </c:pt>
                <c:pt idx="62">
                  <c:v>4.8442830887988541E-3</c:v>
                </c:pt>
                <c:pt idx="63">
                  <c:v>4.86684315143774E-3</c:v>
                </c:pt>
                <c:pt idx="64">
                  <c:v>4.892513167239607E-3</c:v>
                </c:pt>
                <c:pt idx="65">
                  <c:v>4.9212931362044611E-3</c:v>
                </c:pt>
                <c:pt idx="66">
                  <c:v>4.9531830583323163E-3</c:v>
                </c:pt>
                <c:pt idx="67">
                  <c:v>4.9881829336231578E-3</c:v>
                </c:pt>
                <c:pt idx="68">
                  <c:v>5.0262927620769943E-3</c:v>
                </c:pt>
                <c:pt idx="69">
                  <c:v>5.0675125436938171E-3</c:v>
                </c:pt>
                <c:pt idx="70">
                  <c:v>5.1118422784736349E-3</c:v>
                </c:pt>
                <c:pt idx="71">
                  <c:v>5.1592819664164399E-3</c:v>
                </c:pt>
                <c:pt idx="72">
                  <c:v>5.2098316075222389E-3</c:v>
                </c:pt>
                <c:pt idx="73">
                  <c:v>5.2634912017910322E-3</c:v>
                </c:pt>
                <c:pt idx="74">
                  <c:v>5.3202607492228056E-3</c:v>
                </c:pt>
                <c:pt idx="75">
                  <c:v>5.380140249817587E-3</c:v>
                </c:pt>
                <c:pt idx="76">
                  <c:v>5.4431297035753478E-3</c:v>
                </c:pt>
                <c:pt idx="77">
                  <c:v>5.5092291104961036E-3</c:v>
                </c:pt>
                <c:pt idx="78">
                  <c:v>5.5784384705798527E-3</c:v>
                </c:pt>
                <c:pt idx="79">
                  <c:v>5.6507577838265967E-3</c:v>
                </c:pt>
                <c:pt idx="80">
                  <c:v>5.7261870502363209E-3</c:v>
                </c:pt>
              </c:numCache>
            </c:numRef>
          </c:val>
          <c:extLst>
            <c:ext xmlns:c16="http://schemas.microsoft.com/office/drawing/2014/chart" uri="{C3380CC4-5D6E-409C-BE32-E72D297353CC}">
              <c16:uniqueId val="{0000003D-A84F-4AFF-90AD-1264CB609548}"/>
            </c:ext>
          </c:extLst>
        </c:ser>
        <c:ser>
          <c:idx val="62"/>
          <c:order val="62"/>
          <c:tx>
            <c:strRef>
              <c:f>Interpolation!$S$65</c:f>
              <c:strCache>
                <c:ptCount val="1"/>
                <c:pt idx="0">
                  <c:v>36.2</c:v>
                </c:pt>
              </c:strCache>
            </c:strRef>
          </c:tx>
          <c:spPr>
            <a:solidFill>
              <a:schemeClr val="accent3">
                <a:lumMod val="6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Interpolation!$T$65:$CV$65</c:f>
              <c:numCache>
                <c:formatCode>General</c:formatCode>
                <c:ptCount val="81"/>
                <c:pt idx="0">
                  <c:v>9.5309526942061289E-3</c:v>
                </c:pt>
                <c:pt idx="1">
                  <c:v>9.3606004301568062E-3</c:v>
                </c:pt>
                <c:pt idx="2">
                  <c:v>9.1933581192704776E-3</c:v>
                </c:pt>
                <c:pt idx="3">
                  <c:v>9.0292257615471449E-3</c:v>
                </c:pt>
                <c:pt idx="4">
                  <c:v>8.8682033569868046E-3</c:v>
                </c:pt>
                <c:pt idx="5">
                  <c:v>8.7102909055894445E-3</c:v>
                </c:pt>
                <c:pt idx="6">
                  <c:v>8.5554884073550785E-3</c:v>
                </c:pt>
                <c:pt idx="7">
                  <c:v>8.4037958622836927E-3</c:v>
                </c:pt>
                <c:pt idx="8">
                  <c:v>8.2552132703753167E-3</c:v>
                </c:pt>
                <c:pt idx="9">
                  <c:v>8.1097406316299331E-3</c:v>
                </c:pt>
                <c:pt idx="10">
                  <c:v>7.9673779460475297E-3</c:v>
                </c:pt>
                <c:pt idx="11">
                  <c:v>7.8281252136281204E-3</c:v>
                </c:pt>
                <c:pt idx="12">
                  <c:v>7.6919824343717053E-3</c:v>
                </c:pt>
                <c:pt idx="13">
                  <c:v>7.5589496082782851E-3</c:v>
                </c:pt>
                <c:pt idx="14">
                  <c:v>7.4290267353478443E-3</c:v>
                </c:pt>
                <c:pt idx="15">
                  <c:v>7.3022138155804054E-3</c:v>
                </c:pt>
                <c:pt idx="16">
                  <c:v>7.1785108489759528E-3</c:v>
                </c:pt>
                <c:pt idx="17">
                  <c:v>7.0579178355344874E-3</c:v>
                </c:pt>
                <c:pt idx="18">
                  <c:v>6.940434775256024E-3</c:v>
                </c:pt>
                <c:pt idx="19">
                  <c:v>6.8260616681405468E-3</c:v>
                </c:pt>
                <c:pt idx="20">
                  <c:v>6.7147985141880577E-3</c:v>
                </c:pt>
                <c:pt idx="21">
                  <c:v>6.6066453133985688E-3</c:v>
                </c:pt>
                <c:pt idx="22">
                  <c:v>6.501602065772067E-3</c:v>
                </c:pt>
                <c:pt idx="23">
                  <c:v>6.3996687713085533E-3</c:v>
                </c:pt>
                <c:pt idx="24">
                  <c:v>6.3008454300080329E-3</c:v>
                </c:pt>
                <c:pt idx="25">
                  <c:v>6.2051320418705005E-3</c:v>
                </c:pt>
                <c:pt idx="26">
                  <c:v>6.1125286068959683E-3</c:v>
                </c:pt>
                <c:pt idx="27">
                  <c:v>6.0230351250844232E-3</c:v>
                </c:pt>
                <c:pt idx="28">
                  <c:v>5.9366515964358662E-3</c:v>
                </c:pt>
                <c:pt idx="29">
                  <c:v>5.8533780209503025E-3</c:v>
                </c:pt>
                <c:pt idx="30">
                  <c:v>5.7732143986277337E-3</c:v>
                </c:pt>
                <c:pt idx="31">
                  <c:v>5.6961607294681513E-3</c:v>
                </c:pt>
                <c:pt idx="32">
                  <c:v>5.6222170134715629E-3</c:v>
                </c:pt>
                <c:pt idx="33">
                  <c:v>5.5513832506379627E-3</c:v>
                </c:pt>
                <c:pt idx="34">
                  <c:v>5.4836594409673556E-3</c:v>
                </c:pt>
                <c:pt idx="35">
                  <c:v>5.4190455844597436E-3</c:v>
                </c:pt>
                <c:pt idx="36">
                  <c:v>5.3575416811151178E-3</c:v>
                </c:pt>
                <c:pt idx="37">
                  <c:v>5.2991477309334862E-3</c:v>
                </c:pt>
                <c:pt idx="38">
                  <c:v>5.2438637339148495E-3</c:v>
                </c:pt>
                <c:pt idx="39">
                  <c:v>5.1916896900591992E-3</c:v>
                </c:pt>
                <c:pt idx="40">
                  <c:v>5.1426255993665369E-3</c:v>
                </c:pt>
                <c:pt idx="41">
                  <c:v>5.0966714618368679E-3</c:v>
                </c:pt>
                <c:pt idx="42">
                  <c:v>5.053827277470193E-3</c:v>
                </c:pt>
                <c:pt idx="43">
                  <c:v>5.014093046266513E-3</c:v>
                </c:pt>
                <c:pt idx="44">
                  <c:v>4.9774687682258194E-3</c:v>
                </c:pt>
                <c:pt idx="45">
                  <c:v>4.9439544433481199E-3</c:v>
                </c:pt>
                <c:pt idx="46">
                  <c:v>4.9135500716334084E-3</c:v>
                </c:pt>
                <c:pt idx="47">
                  <c:v>4.8862556530816902E-3</c:v>
                </c:pt>
                <c:pt idx="48">
                  <c:v>4.8620711876929661E-3</c:v>
                </c:pt>
                <c:pt idx="49">
                  <c:v>4.8409966754672301E-3</c:v>
                </c:pt>
                <c:pt idx="50">
                  <c:v>4.8230321164044812E-3</c:v>
                </c:pt>
                <c:pt idx="51">
                  <c:v>4.8081775105047325E-3</c:v>
                </c:pt>
                <c:pt idx="52">
                  <c:v>4.796432857767971E-3</c:v>
                </c:pt>
                <c:pt idx="53">
                  <c:v>4.7877981581941967E-3</c:v>
                </c:pt>
                <c:pt idx="54">
                  <c:v>4.7822734117834173E-3</c:v>
                </c:pt>
                <c:pt idx="55">
                  <c:v>4.7798586185356391E-3</c:v>
                </c:pt>
                <c:pt idx="56">
                  <c:v>4.7805537784508401E-3</c:v>
                </c:pt>
                <c:pt idx="57">
                  <c:v>4.7843588915290353E-3</c:v>
                </c:pt>
                <c:pt idx="58">
                  <c:v>4.7912739577702177E-3</c:v>
                </c:pt>
                <c:pt idx="59">
                  <c:v>4.801298977174402E-3</c:v>
                </c:pt>
                <c:pt idx="60">
                  <c:v>4.8144339497415665E-3</c:v>
                </c:pt>
                <c:pt idx="61">
                  <c:v>4.8306788754717313E-3</c:v>
                </c:pt>
                <c:pt idx="62">
                  <c:v>4.8500337543648762E-3</c:v>
                </c:pt>
                <c:pt idx="63">
                  <c:v>4.8724985864210292E-3</c:v>
                </c:pt>
                <c:pt idx="64">
                  <c:v>4.8980733716401633E-3</c:v>
                </c:pt>
                <c:pt idx="65">
                  <c:v>4.9267581100222837E-3</c:v>
                </c:pt>
                <c:pt idx="66">
                  <c:v>4.958552801567406E-3</c:v>
                </c:pt>
                <c:pt idx="67">
                  <c:v>4.9934574462755146E-3</c:v>
                </c:pt>
                <c:pt idx="68">
                  <c:v>5.0314720441466173E-3</c:v>
                </c:pt>
                <c:pt idx="69">
                  <c:v>5.0725965951807072E-3</c:v>
                </c:pt>
                <c:pt idx="70">
                  <c:v>5.1168310993777921E-3</c:v>
                </c:pt>
                <c:pt idx="71">
                  <c:v>5.1641755567378642E-3</c:v>
                </c:pt>
                <c:pt idx="72">
                  <c:v>5.2146299672609295E-3</c:v>
                </c:pt>
                <c:pt idx="73">
                  <c:v>5.2681943309469889E-3</c:v>
                </c:pt>
                <c:pt idx="74">
                  <c:v>5.3248686477960295E-3</c:v>
                </c:pt>
                <c:pt idx="75">
                  <c:v>5.3846529178080771E-3</c:v>
                </c:pt>
                <c:pt idx="76">
                  <c:v>5.4475471409831059E-3</c:v>
                </c:pt>
                <c:pt idx="77">
                  <c:v>5.5135513173211279E-3</c:v>
                </c:pt>
                <c:pt idx="78">
                  <c:v>5.5826654468221441E-3</c:v>
                </c:pt>
                <c:pt idx="79">
                  <c:v>5.6548895294861543E-3</c:v>
                </c:pt>
                <c:pt idx="80">
                  <c:v>5.7302235653131457E-3</c:v>
                </c:pt>
              </c:numCache>
            </c:numRef>
          </c:val>
          <c:extLst>
            <c:ext xmlns:c16="http://schemas.microsoft.com/office/drawing/2014/chart" uri="{C3380CC4-5D6E-409C-BE32-E72D297353CC}">
              <c16:uniqueId val="{0000003E-A84F-4AFF-90AD-1264CB609548}"/>
            </c:ext>
          </c:extLst>
        </c:ser>
        <c:ser>
          <c:idx val="63"/>
          <c:order val="63"/>
          <c:tx>
            <c:strRef>
              <c:f>Interpolation!$S$66</c:f>
              <c:strCache>
                <c:ptCount val="1"/>
                <c:pt idx="0">
                  <c:v>36.3</c:v>
                </c:pt>
              </c:strCache>
            </c:strRef>
          </c:tx>
          <c:spPr>
            <a:solidFill>
              <a:schemeClr val="accent4">
                <a:lumMod val="6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Interpolation!$T$66:$CV$66</c:f>
              <c:numCache>
                <c:formatCode>General</c:formatCode>
                <c:ptCount val="81"/>
                <c:pt idx="0">
                  <c:v>9.5435081096284288E-3</c:v>
                </c:pt>
                <c:pt idx="1">
                  <c:v>9.373060614996374E-3</c:v>
                </c:pt>
                <c:pt idx="2">
                  <c:v>9.2057230735273117E-3</c:v>
                </c:pt>
                <c:pt idx="3">
                  <c:v>9.0414954852212452E-3</c:v>
                </c:pt>
                <c:pt idx="4">
                  <c:v>8.8803778500781711E-3</c:v>
                </c:pt>
                <c:pt idx="5">
                  <c:v>8.722370168098079E-3</c:v>
                </c:pt>
                <c:pt idx="6">
                  <c:v>8.5674724392809792E-3</c:v>
                </c:pt>
                <c:pt idx="7">
                  <c:v>8.4156846636268615E-3</c:v>
                </c:pt>
                <c:pt idx="8">
                  <c:v>8.2670068411357499E-3</c:v>
                </c:pt>
                <c:pt idx="9">
                  <c:v>8.1214389718076343E-3</c:v>
                </c:pt>
                <c:pt idx="10">
                  <c:v>7.9789810556424971E-3</c:v>
                </c:pt>
                <c:pt idx="11">
                  <c:v>7.8396330926403558E-3</c:v>
                </c:pt>
                <c:pt idx="12">
                  <c:v>7.7033950828012069E-3</c:v>
                </c:pt>
                <c:pt idx="13">
                  <c:v>7.5702670261250538E-3</c:v>
                </c:pt>
                <c:pt idx="14">
                  <c:v>7.4402489226118801E-3</c:v>
                </c:pt>
                <c:pt idx="15">
                  <c:v>7.3133407722617075E-3</c:v>
                </c:pt>
                <c:pt idx="16">
                  <c:v>7.189542575074522E-3</c:v>
                </c:pt>
                <c:pt idx="17">
                  <c:v>7.0688543310503237E-3</c:v>
                </c:pt>
                <c:pt idx="18">
                  <c:v>6.9512760401891265E-3</c:v>
                </c:pt>
                <c:pt idx="19">
                  <c:v>6.8368077024909164E-3</c:v>
                </c:pt>
                <c:pt idx="20">
                  <c:v>6.7254493179556936E-3</c:v>
                </c:pt>
                <c:pt idx="21">
                  <c:v>6.6172008865834717E-3</c:v>
                </c:pt>
                <c:pt idx="22">
                  <c:v>6.5120624083742371E-3</c:v>
                </c:pt>
                <c:pt idx="23">
                  <c:v>6.4100338833279896E-3</c:v>
                </c:pt>
                <c:pt idx="24">
                  <c:v>6.3111153114447363E-3</c:v>
                </c:pt>
                <c:pt idx="25">
                  <c:v>6.2153066927244701E-3</c:v>
                </c:pt>
                <c:pt idx="26">
                  <c:v>6.122608027167205E-3</c:v>
                </c:pt>
                <c:pt idx="27">
                  <c:v>6.033019314772927E-3</c:v>
                </c:pt>
                <c:pt idx="28">
                  <c:v>5.9465405555416363E-3</c:v>
                </c:pt>
                <c:pt idx="29">
                  <c:v>5.8631717494733396E-3</c:v>
                </c:pt>
                <c:pt idx="30">
                  <c:v>5.7829128965680371E-3</c:v>
                </c:pt>
                <c:pt idx="31">
                  <c:v>5.7057639968257218E-3</c:v>
                </c:pt>
                <c:pt idx="32">
                  <c:v>5.6317250502464005E-3</c:v>
                </c:pt>
                <c:pt idx="33">
                  <c:v>5.5607960568300665E-3</c:v>
                </c:pt>
                <c:pt idx="34">
                  <c:v>5.4929770165767266E-3</c:v>
                </c:pt>
                <c:pt idx="35">
                  <c:v>5.4282679294863807E-3</c:v>
                </c:pt>
                <c:pt idx="36">
                  <c:v>5.3666687955590221E-3</c:v>
                </c:pt>
                <c:pt idx="37">
                  <c:v>5.3081796147946576E-3</c:v>
                </c:pt>
                <c:pt idx="38">
                  <c:v>5.2528003871932872E-3</c:v>
                </c:pt>
                <c:pt idx="39">
                  <c:v>5.2005311127549039E-3</c:v>
                </c:pt>
                <c:pt idx="40">
                  <c:v>5.1513717914795079E-3</c:v>
                </c:pt>
                <c:pt idx="41">
                  <c:v>5.1053224233671059E-3</c:v>
                </c:pt>
                <c:pt idx="42">
                  <c:v>5.062383008417699E-3</c:v>
                </c:pt>
                <c:pt idx="43">
                  <c:v>5.0225535466312844E-3</c:v>
                </c:pt>
                <c:pt idx="44">
                  <c:v>4.9858340380078579E-3</c:v>
                </c:pt>
                <c:pt idx="45">
                  <c:v>4.9522244825474255E-3</c:v>
                </c:pt>
                <c:pt idx="46">
                  <c:v>4.9217248802499803E-3</c:v>
                </c:pt>
                <c:pt idx="47">
                  <c:v>4.8943352311155292E-3</c:v>
                </c:pt>
                <c:pt idx="48">
                  <c:v>4.870055535144073E-3</c:v>
                </c:pt>
                <c:pt idx="49">
                  <c:v>4.8488857923356023E-3</c:v>
                </c:pt>
                <c:pt idx="50">
                  <c:v>4.8308260026901206E-3</c:v>
                </c:pt>
                <c:pt idx="51">
                  <c:v>4.8158761662076381E-3</c:v>
                </c:pt>
                <c:pt idx="52">
                  <c:v>4.8040362828881446E-3</c:v>
                </c:pt>
                <c:pt idx="53">
                  <c:v>4.7953063527316365E-3</c:v>
                </c:pt>
                <c:pt idx="54">
                  <c:v>4.7896863757381242E-3</c:v>
                </c:pt>
                <c:pt idx="55">
                  <c:v>4.7871763519076122E-3</c:v>
                </c:pt>
                <c:pt idx="56">
                  <c:v>4.7877762812400804E-3</c:v>
                </c:pt>
                <c:pt idx="57">
                  <c:v>4.7914861637355418E-3</c:v>
                </c:pt>
                <c:pt idx="58">
                  <c:v>4.7983059993939921E-3</c:v>
                </c:pt>
                <c:pt idx="59">
                  <c:v>4.8082357882154427E-3</c:v>
                </c:pt>
                <c:pt idx="60">
                  <c:v>4.8212755301998735E-3</c:v>
                </c:pt>
                <c:pt idx="61">
                  <c:v>4.8374252253473053E-3</c:v>
                </c:pt>
                <c:pt idx="62">
                  <c:v>4.8566848736577174E-3</c:v>
                </c:pt>
                <c:pt idx="63">
                  <c:v>4.8790544751311374E-3</c:v>
                </c:pt>
                <c:pt idx="64">
                  <c:v>4.9045340297675377E-3</c:v>
                </c:pt>
                <c:pt idx="65">
                  <c:v>4.9331235375669243E-3</c:v>
                </c:pt>
                <c:pt idx="66">
                  <c:v>4.9648229985293137E-3</c:v>
                </c:pt>
                <c:pt idx="67">
                  <c:v>4.9996324126546894E-3</c:v>
                </c:pt>
                <c:pt idx="68">
                  <c:v>5.0375517799430593E-3</c:v>
                </c:pt>
                <c:pt idx="69">
                  <c:v>5.0785811003944163E-3</c:v>
                </c:pt>
                <c:pt idx="70">
                  <c:v>5.1227203740087674E-3</c:v>
                </c:pt>
                <c:pt idx="71">
                  <c:v>5.1699696007861057E-3</c:v>
                </c:pt>
                <c:pt idx="72">
                  <c:v>5.2203287807264381E-3</c:v>
                </c:pt>
                <c:pt idx="73">
                  <c:v>5.2737979138297655E-3</c:v>
                </c:pt>
                <c:pt idx="74">
                  <c:v>5.3303770000960714E-3</c:v>
                </c:pt>
                <c:pt idx="75">
                  <c:v>5.3900660395253862E-3</c:v>
                </c:pt>
                <c:pt idx="76">
                  <c:v>5.4528650321176812E-3</c:v>
                </c:pt>
                <c:pt idx="77">
                  <c:v>5.5187739778729704E-3</c:v>
                </c:pt>
                <c:pt idx="78">
                  <c:v>5.5877928767912536E-3</c:v>
                </c:pt>
                <c:pt idx="79">
                  <c:v>5.659921728872531E-3</c:v>
                </c:pt>
                <c:pt idx="80">
                  <c:v>5.7351605341167886E-3</c:v>
                </c:pt>
              </c:numCache>
            </c:numRef>
          </c:val>
          <c:extLst>
            <c:ext xmlns:c16="http://schemas.microsoft.com/office/drawing/2014/chart" uri="{C3380CC4-5D6E-409C-BE32-E72D297353CC}">
              <c16:uniqueId val="{0000003F-A84F-4AFF-90AD-1264CB609548}"/>
            </c:ext>
          </c:extLst>
        </c:ser>
        <c:ser>
          <c:idx val="64"/>
          <c:order val="64"/>
          <c:tx>
            <c:strRef>
              <c:f>Interpolation!$S$67</c:f>
              <c:strCache>
                <c:ptCount val="1"/>
                <c:pt idx="0">
                  <c:v>36.4</c:v>
                </c:pt>
              </c:strCache>
            </c:strRef>
          </c:tx>
          <c:spPr>
            <a:solidFill>
              <a:schemeClr val="accent5">
                <a:lumMod val="6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Interpolation!$T$67:$CV$67</c:f>
              <c:numCache>
                <c:formatCode>General</c:formatCode>
                <c:ptCount val="81"/>
                <c:pt idx="0">
                  <c:v>9.5569639787775468E-3</c:v>
                </c:pt>
                <c:pt idx="1">
                  <c:v>9.3864212535627583E-3</c:v>
                </c:pt>
                <c:pt idx="2">
                  <c:v>9.2189884815109639E-3</c:v>
                </c:pt>
                <c:pt idx="3">
                  <c:v>9.0546656626221637E-3</c:v>
                </c:pt>
                <c:pt idx="4">
                  <c:v>8.8934527968963575E-3</c:v>
                </c:pt>
                <c:pt idx="5">
                  <c:v>8.7353498843335299E-3</c:v>
                </c:pt>
                <c:pt idx="6">
                  <c:v>8.5803569249336981E-3</c:v>
                </c:pt>
                <c:pt idx="7">
                  <c:v>8.4284739186968466E-3</c:v>
                </c:pt>
                <c:pt idx="8">
                  <c:v>8.279700865623003E-3</c:v>
                </c:pt>
                <c:pt idx="9">
                  <c:v>8.1340377657121536E-3</c:v>
                </c:pt>
                <c:pt idx="10">
                  <c:v>7.9914846189642827E-3</c:v>
                </c:pt>
                <c:pt idx="11">
                  <c:v>7.8520414253794076E-3</c:v>
                </c:pt>
                <c:pt idx="12">
                  <c:v>7.7157081849575267E-3</c:v>
                </c:pt>
                <c:pt idx="13">
                  <c:v>7.5824848976986398E-3</c:v>
                </c:pt>
                <c:pt idx="14">
                  <c:v>7.4523715636027332E-3</c:v>
                </c:pt>
                <c:pt idx="15">
                  <c:v>7.3253681826698268E-3</c:v>
                </c:pt>
                <c:pt idx="16">
                  <c:v>7.2014747548999085E-3</c:v>
                </c:pt>
                <c:pt idx="17">
                  <c:v>7.0806912802929773E-3</c:v>
                </c:pt>
                <c:pt idx="18">
                  <c:v>6.9630177588490463E-3</c:v>
                </c:pt>
                <c:pt idx="19">
                  <c:v>6.8484541905681033E-3</c:v>
                </c:pt>
                <c:pt idx="20">
                  <c:v>6.7370005754501475E-3</c:v>
                </c:pt>
                <c:pt idx="21">
                  <c:v>6.6286569134951928E-3</c:v>
                </c:pt>
                <c:pt idx="22">
                  <c:v>6.5234232047032244E-3</c:v>
                </c:pt>
                <c:pt idx="23">
                  <c:v>6.4212994490742432E-3</c:v>
                </c:pt>
                <c:pt idx="24">
                  <c:v>6.3222856466082569E-3</c:v>
                </c:pt>
                <c:pt idx="25">
                  <c:v>6.2263817973052579E-3</c:v>
                </c:pt>
                <c:pt idx="26">
                  <c:v>6.1335879011652598E-3</c:v>
                </c:pt>
                <c:pt idx="27">
                  <c:v>6.043903958188249E-3</c:v>
                </c:pt>
                <c:pt idx="28">
                  <c:v>5.9573299683742245E-3</c:v>
                </c:pt>
                <c:pt idx="29">
                  <c:v>5.8738659317231941E-3</c:v>
                </c:pt>
                <c:pt idx="30">
                  <c:v>5.7935118482351586E-3</c:v>
                </c:pt>
                <c:pt idx="31">
                  <c:v>5.7162677179101104E-3</c:v>
                </c:pt>
                <c:pt idx="32">
                  <c:v>5.6421335407480563E-3</c:v>
                </c:pt>
                <c:pt idx="33">
                  <c:v>5.5711093167489885E-3</c:v>
                </c:pt>
                <c:pt idx="34">
                  <c:v>5.5031950459129156E-3</c:v>
                </c:pt>
                <c:pt idx="35">
                  <c:v>5.438390728239836E-3</c:v>
                </c:pt>
                <c:pt idx="36">
                  <c:v>5.3766963637297445E-3</c:v>
                </c:pt>
                <c:pt idx="37">
                  <c:v>5.3181119523826471E-3</c:v>
                </c:pt>
                <c:pt idx="38">
                  <c:v>5.2626374941985438E-3</c:v>
                </c:pt>
                <c:pt idx="39">
                  <c:v>5.2102729891774268E-3</c:v>
                </c:pt>
                <c:pt idx="40">
                  <c:v>5.1610184373192978E-3</c:v>
                </c:pt>
                <c:pt idx="41">
                  <c:v>5.1148738386241621E-3</c:v>
                </c:pt>
                <c:pt idx="42">
                  <c:v>5.0718391930920214E-3</c:v>
                </c:pt>
                <c:pt idx="43">
                  <c:v>5.0319145007228748E-3</c:v>
                </c:pt>
                <c:pt idx="44">
                  <c:v>4.9950997615167145E-3</c:v>
                </c:pt>
                <c:pt idx="45">
                  <c:v>4.9613949754735492E-3</c:v>
                </c:pt>
                <c:pt idx="46">
                  <c:v>4.9308001425933702E-3</c:v>
                </c:pt>
                <c:pt idx="47">
                  <c:v>4.9033152628761862E-3</c:v>
                </c:pt>
                <c:pt idx="48">
                  <c:v>4.8789403363219963E-3</c:v>
                </c:pt>
                <c:pt idx="49">
                  <c:v>4.8576753629307936E-3</c:v>
                </c:pt>
                <c:pt idx="50">
                  <c:v>4.8395203427025781E-3</c:v>
                </c:pt>
                <c:pt idx="51">
                  <c:v>4.8244752756373627E-3</c:v>
                </c:pt>
                <c:pt idx="52">
                  <c:v>4.8125401617351354E-3</c:v>
                </c:pt>
                <c:pt idx="53">
                  <c:v>4.8037150009958944E-3</c:v>
                </c:pt>
                <c:pt idx="54">
                  <c:v>4.7979997934196484E-3</c:v>
                </c:pt>
                <c:pt idx="55">
                  <c:v>4.7953945390064034E-3</c:v>
                </c:pt>
                <c:pt idx="56">
                  <c:v>4.7958992377561379E-3</c:v>
                </c:pt>
                <c:pt idx="57">
                  <c:v>4.7995138896688664E-3</c:v>
                </c:pt>
                <c:pt idx="58">
                  <c:v>4.806238494744583E-3</c:v>
                </c:pt>
                <c:pt idx="59">
                  <c:v>4.8160730529833006E-3</c:v>
                </c:pt>
                <c:pt idx="60">
                  <c:v>4.8290175643849985E-3</c:v>
                </c:pt>
                <c:pt idx="61">
                  <c:v>4.8450720289496974E-3</c:v>
                </c:pt>
                <c:pt idx="62">
                  <c:v>4.8642364466773766E-3</c:v>
                </c:pt>
                <c:pt idx="63">
                  <c:v>4.8865108175680629E-3</c:v>
                </c:pt>
                <c:pt idx="64">
                  <c:v>4.9118951416217303E-3</c:v>
                </c:pt>
                <c:pt idx="65">
                  <c:v>4.940389418838384E-3</c:v>
                </c:pt>
                <c:pt idx="66">
                  <c:v>4.9719936492180396E-3</c:v>
                </c:pt>
                <c:pt idx="67">
                  <c:v>5.0067078327606816E-3</c:v>
                </c:pt>
                <c:pt idx="68">
                  <c:v>5.0445319694663185E-3</c:v>
                </c:pt>
                <c:pt idx="69">
                  <c:v>5.0854660593349418E-3</c:v>
                </c:pt>
                <c:pt idx="70">
                  <c:v>5.12951010236656E-3</c:v>
                </c:pt>
                <c:pt idx="71">
                  <c:v>5.1766640985611654E-3</c:v>
                </c:pt>
                <c:pt idx="72">
                  <c:v>5.2269280479187649E-3</c:v>
                </c:pt>
                <c:pt idx="73">
                  <c:v>5.2803019504393586E-3</c:v>
                </c:pt>
                <c:pt idx="74">
                  <c:v>5.3367858061229324E-3</c:v>
                </c:pt>
                <c:pt idx="75">
                  <c:v>5.3963796149695126E-3</c:v>
                </c:pt>
                <c:pt idx="76">
                  <c:v>5.4590833769790747E-3</c:v>
                </c:pt>
                <c:pt idx="77">
                  <c:v>5.5248970921516309E-3</c:v>
                </c:pt>
                <c:pt idx="78">
                  <c:v>5.5938207604871813E-3</c:v>
                </c:pt>
                <c:pt idx="79">
                  <c:v>5.6658543819857257E-3</c:v>
                </c:pt>
                <c:pt idx="80">
                  <c:v>5.7409979566472496E-3</c:v>
                </c:pt>
              </c:numCache>
            </c:numRef>
          </c:val>
          <c:extLst>
            <c:ext xmlns:c16="http://schemas.microsoft.com/office/drawing/2014/chart" uri="{C3380CC4-5D6E-409C-BE32-E72D297353CC}">
              <c16:uniqueId val="{00000040-A84F-4AFF-90AD-1264CB609548}"/>
            </c:ext>
          </c:extLst>
        </c:ser>
        <c:ser>
          <c:idx val="65"/>
          <c:order val="65"/>
          <c:tx>
            <c:strRef>
              <c:f>Interpolation!$S$68</c:f>
              <c:strCache>
                <c:ptCount val="1"/>
                <c:pt idx="0">
                  <c:v>36.5</c:v>
                </c:pt>
              </c:strCache>
            </c:strRef>
          </c:tx>
          <c:spPr>
            <a:solidFill>
              <a:schemeClr val="accent6">
                <a:lumMod val="6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Interpolation!$T$68:$CV$68</c:f>
              <c:numCache>
                <c:formatCode>General</c:formatCode>
                <c:ptCount val="81"/>
                <c:pt idx="0">
                  <c:v>9.571320301653476E-3</c:v>
                </c:pt>
                <c:pt idx="1">
                  <c:v>9.4006823458559555E-3</c:v>
                </c:pt>
                <c:pt idx="2">
                  <c:v>9.2331543432214273E-3</c:v>
                </c:pt>
                <c:pt idx="3">
                  <c:v>9.0687362937498933E-3</c:v>
                </c:pt>
                <c:pt idx="4">
                  <c:v>8.9074281974413534E-3</c:v>
                </c:pt>
                <c:pt idx="5">
                  <c:v>8.7492300542957938E-3</c:v>
                </c:pt>
                <c:pt idx="6">
                  <c:v>8.5941418643132282E-3</c:v>
                </c:pt>
                <c:pt idx="7">
                  <c:v>8.4421636274936429E-3</c:v>
                </c:pt>
                <c:pt idx="8">
                  <c:v>8.2932953438370673E-3</c:v>
                </c:pt>
                <c:pt idx="9">
                  <c:v>8.1475370133434841E-3</c:v>
                </c:pt>
                <c:pt idx="10">
                  <c:v>8.0048886360128812E-3</c:v>
                </c:pt>
                <c:pt idx="11">
                  <c:v>7.8653502118452723E-3</c:v>
                </c:pt>
                <c:pt idx="12">
                  <c:v>7.7289217408406576E-3</c:v>
                </c:pt>
                <c:pt idx="13">
                  <c:v>7.595603222999037E-3</c:v>
                </c:pt>
                <c:pt idx="14">
                  <c:v>7.4653946583203975E-3</c:v>
                </c:pt>
                <c:pt idx="15">
                  <c:v>7.3382960468047582E-3</c:v>
                </c:pt>
                <c:pt idx="16">
                  <c:v>7.214307388452107E-3</c:v>
                </c:pt>
                <c:pt idx="17">
                  <c:v>7.093428683262442E-3</c:v>
                </c:pt>
                <c:pt idx="18">
                  <c:v>6.9756599312357781E-3</c:v>
                </c:pt>
                <c:pt idx="19">
                  <c:v>6.8610011323721014E-3</c:v>
                </c:pt>
                <c:pt idx="20">
                  <c:v>6.7494522866714127E-3</c:v>
                </c:pt>
                <c:pt idx="21">
                  <c:v>6.6410133941337242E-3</c:v>
                </c:pt>
                <c:pt idx="22">
                  <c:v>6.5356844547590229E-3</c:v>
                </c:pt>
                <c:pt idx="23">
                  <c:v>6.4334654685473088E-3</c:v>
                </c:pt>
                <c:pt idx="24">
                  <c:v>6.3343564354985896E-3</c:v>
                </c:pt>
                <c:pt idx="25">
                  <c:v>6.2383573556128568E-3</c:v>
                </c:pt>
                <c:pt idx="26">
                  <c:v>6.145468228890125E-3</c:v>
                </c:pt>
                <c:pt idx="27">
                  <c:v>6.0556890553303813E-3</c:v>
                </c:pt>
                <c:pt idx="28">
                  <c:v>5.9690198349336239E-3</c:v>
                </c:pt>
                <c:pt idx="29">
                  <c:v>5.8854605676998606E-3</c:v>
                </c:pt>
                <c:pt idx="30">
                  <c:v>5.8050112536290914E-3</c:v>
                </c:pt>
                <c:pt idx="31">
                  <c:v>5.7276718927213102E-3</c:v>
                </c:pt>
                <c:pt idx="32">
                  <c:v>5.6534424849765223E-3</c:v>
                </c:pt>
                <c:pt idx="33">
                  <c:v>5.5823230303947216E-3</c:v>
                </c:pt>
                <c:pt idx="34">
                  <c:v>5.514313528975915E-3</c:v>
                </c:pt>
                <c:pt idx="35">
                  <c:v>5.4494139807201034E-3</c:v>
                </c:pt>
                <c:pt idx="36">
                  <c:v>5.3876243856272781E-3</c:v>
                </c:pt>
                <c:pt idx="37">
                  <c:v>5.3289447436974478E-3</c:v>
                </c:pt>
                <c:pt idx="38">
                  <c:v>5.2733750549306107E-3</c:v>
                </c:pt>
                <c:pt idx="39">
                  <c:v>5.2209153193267608E-3</c:v>
                </c:pt>
                <c:pt idx="40">
                  <c:v>5.1715655368858981E-3</c:v>
                </c:pt>
                <c:pt idx="41">
                  <c:v>5.1253257076080295E-3</c:v>
                </c:pt>
                <c:pt idx="42">
                  <c:v>5.0821958314931559E-3</c:v>
                </c:pt>
                <c:pt idx="43">
                  <c:v>5.0421759085412755E-3</c:v>
                </c:pt>
                <c:pt idx="44">
                  <c:v>5.0052659387523823E-3</c:v>
                </c:pt>
                <c:pt idx="45">
                  <c:v>4.9714659221264841E-3</c:v>
                </c:pt>
                <c:pt idx="46">
                  <c:v>4.9407758586635722E-3</c:v>
                </c:pt>
                <c:pt idx="47">
                  <c:v>4.9131957483636544E-3</c:v>
                </c:pt>
                <c:pt idx="48">
                  <c:v>4.8887255912267308E-3</c:v>
                </c:pt>
                <c:pt idx="49">
                  <c:v>4.8673653872527952E-3</c:v>
                </c:pt>
                <c:pt idx="50">
                  <c:v>4.8491151364418467E-3</c:v>
                </c:pt>
                <c:pt idx="51">
                  <c:v>4.8339748387938985E-3</c:v>
                </c:pt>
                <c:pt idx="52">
                  <c:v>4.8219444943089374E-3</c:v>
                </c:pt>
                <c:pt idx="53">
                  <c:v>4.8130241029869635E-3</c:v>
                </c:pt>
                <c:pt idx="54">
                  <c:v>4.8072136648279837E-3</c:v>
                </c:pt>
                <c:pt idx="55">
                  <c:v>4.804513179832005E-3</c:v>
                </c:pt>
                <c:pt idx="56">
                  <c:v>4.8049226479990065E-3</c:v>
                </c:pt>
                <c:pt idx="57">
                  <c:v>4.8084420693290031E-3</c:v>
                </c:pt>
                <c:pt idx="58">
                  <c:v>4.8150714438219859E-3</c:v>
                </c:pt>
                <c:pt idx="59">
                  <c:v>4.8248107714779706E-3</c:v>
                </c:pt>
                <c:pt idx="60">
                  <c:v>4.8376600522969347E-3</c:v>
                </c:pt>
                <c:pt idx="61">
                  <c:v>4.8536192862788999E-3</c:v>
                </c:pt>
                <c:pt idx="62">
                  <c:v>4.8726884734238462E-3</c:v>
                </c:pt>
                <c:pt idx="63">
                  <c:v>4.8948676137317996E-3</c:v>
                </c:pt>
                <c:pt idx="64">
                  <c:v>4.9201567072027341E-3</c:v>
                </c:pt>
                <c:pt idx="65">
                  <c:v>4.948555753836654E-3</c:v>
                </c:pt>
                <c:pt idx="66">
                  <c:v>4.9800647536335767E-3</c:v>
                </c:pt>
                <c:pt idx="67">
                  <c:v>5.0146837065934858E-3</c:v>
                </c:pt>
                <c:pt idx="68">
                  <c:v>5.052412612716389E-3</c:v>
                </c:pt>
                <c:pt idx="69">
                  <c:v>5.0932514720022793E-3</c:v>
                </c:pt>
                <c:pt idx="70">
                  <c:v>5.1372002844511638E-3</c:v>
                </c:pt>
                <c:pt idx="71">
                  <c:v>5.1842590500630363E-3</c:v>
                </c:pt>
                <c:pt idx="72">
                  <c:v>5.2344277688379029E-3</c:v>
                </c:pt>
                <c:pt idx="73">
                  <c:v>5.2877064407757628E-3</c:v>
                </c:pt>
                <c:pt idx="74">
                  <c:v>5.3440950658766029E-3</c:v>
                </c:pt>
                <c:pt idx="75">
                  <c:v>5.403593644140451E-3</c:v>
                </c:pt>
                <c:pt idx="76">
                  <c:v>5.4662021755672793E-3</c:v>
                </c:pt>
                <c:pt idx="77">
                  <c:v>5.5319206601571018E-3</c:v>
                </c:pt>
                <c:pt idx="78">
                  <c:v>5.6007490979099192E-3</c:v>
                </c:pt>
                <c:pt idx="79">
                  <c:v>5.6726874888257308E-3</c:v>
                </c:pt>
                <c:pt idx="80">
                  <c:v>5.7477358329045217E-3</c:v>
                </c:pt>
              </c:numCache>
            </c:numRef>
          </c:val>
          <c:extLst>
            <c:ext xmlns:c16="http://schemas.microsoft.com/office/drawing/2014/chart" uri="{C3380CC4-5D6E-409C-BE32-E72D297353CC}">
              <c16:uniqueId val="{00000041-A84F-4AFF-90AD-1264CB609548}"/>
            </c:ext>
          </c:extLst>
        </c:ser>
        <c:ser>
          <c:idx val="66"/>
          <c:order val="66"/>
          <c:tx>
            <c:strRef>
              <c:f>Interpolation!$S$69</c:f>
              <c:strCache>
                <c:ptCount val="1"/>
                <c:pt idx="0">
                  <c:v>36.6</c:v>
                </c:pt>
              </c:strCache>
            </c:strRef>
          </c:tx>
          <c:spPr>
            <a:solidFill>
              <a:schemeClr val="accent1">
                <a:lumMod val="80000"/>
                <a:lumOff val="2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Interpolation!$T$69:$CV$69</c:f>
              <c:numCache>
                <c:formatCode>General</c:formatCode>
                <c:ptCount val="81"/>
                <c:pt idx="0">
                  <c:v>9.586577078256232E-3</c:v>
                </c:pt>
                <c:pt idx="1">
                  <c:v>9.415843891875976E-3</c:v>
                </c:pt>
                <c:pt idx="2">
                  <c:v>9.2482206586587158E-3</c:v>
                </c:pt>
                <c:pt idx="3">
                  <c:v>9.083707378604448E-3</c:v>
                </c:pt>
                <c:pt idx="4">
                  <c:v>8.9223040517131744E-3</c:v>
                </c:pt>
                <c:pt idx="5">
                  <c:v>8.7640106779848827E-3</c:v>
                </c:pt>
                <c:pt idx="6">
                  <c:v>8.6088272574195834E-3</c:v>
                </c:pt>
                <c:pt idx="7">
                  <c:v>8.456753790017266E-3</c:v>
                </c:pt>
                <c:pt idx="8">
                  <c:v>8.307790275777955E-3</c:v>
                </c:pt>
                <c:pt idx="9">
                  <c:v>8.1619367147016397E-3</c:v>
                </c:pt>
                <c:pt idx="10">
                  <c:v>8.019193106788303E-3</c:v>
                </c:pt>
                <c:pt idx="11">
                  <c:v>7.8795594520379621E-3</c:v>
                </c:pt>
                <c:pt idx="12">
                  <c:v>7.7430357504506137E-3</c:v>
                </c:pt>
                <c:pt idx="13">
                  <c:v>7.6096220020262601E-3</c:v>
                </c:pt>
                <c:pt idx="14">
                  <c:v>7.4793182067648869E-3</c:v>
                </c:pt>
                <c:pt idx="15">
                  <c:v>7.3521243646665147E-3</c:v>
                </c:pt>
                <c:pt idx="16">
                  <c:v>7.2280404757311296E-3</c:v>
                </c:pt>
                <c:pt idx="17">
                  <c:v>7.1070665399587318E-3</c:v>
                </c:pt>
                <c:pt idx="18">
                  <c:v>6.989202557349335E-3</c:v>
                </c:pt>
                <c:pt idx="19">
                  <c:v>6.8744485279029245E-3</c:v>
                </c:pt>
                <c:pt idx="20">
                  <c:v>6.7628044516195029E-3</c:v>
                </c:pt>
                <c:pt idx="21">
                  <c:v>6.6542703284990807E-3</c:v>
                </c:pt>
                <c:pt idx="22">
                  <c:v>6.5488461585416465E-3</c:v>
                </c:pt>
                <c:pt idx="23">
                  <c:v>6.4465319417471995E-3</c:v>
                </c:pt>
                <c:pt idx="24">
                  <c:v>6.3473276781157465E-3</c:v>
                </c:pt>
                <c:pt idx="25">
                  <c:v>6.2512333676472808E-3</c:v>
                </c:pt>
                <c:pt idx="26">
                  <c:v>6.1582490103418161E-3</c:v>
                </c:pt>
                <c:pt idx="27">
                  <c:v>6.0683746061993386E-3</c:v>
                </c:pt>
                <c:pt idx="28">
                  <c:v>5.9816101552198483E-3</c:v>
                </c:pt>
                <c:pt idx="29">
                  <c:v>5.8979556574033521E-3</c:v>
                </c:pt>
                <c:pt idx="30">
                  <c:v>5.8174111127498492E-3</c:v>
                </c:pt>
                <c:pt idx="31">
                  <c:v>5.7399765212593351E-3</c:v>
                </c:pt>
                <c:pt idx="32">
                  <c:v>5.6656518829318143E-3</c:v>
                </c:pt>
                <c:pt idx="33">
                  <c:v>5.5944371977672798E-3</c:v>
                </c:pt>
                <c:pt idx="34">
                  <c:v>5.5263324657657403E-3</c:v>
                </c:pt>
                <c:pt idx="35">
                  <c:v>5.4613376869271949E-3</c:v>
                </c:pt>
                <c:pt idx="36">
                  <c:v>5.3994528612516367E-3</c:v>
                </c:pt>
                <c:pt idx="37">
                  <c:v>5.3406779887390727E-3</c:v>
                </c:pt>
                <c:pt idx="38">
                  <c:v>5.2850130693895027E-3</c:v>
                </c:pt>
                <c:pt idx="39">
                  <c:v>5.2324581032029199E-3</c:v>
                </c:pt>
                <c:pt idx="40">
                  <c:v>5.1830130901793243E-3</c:v>
                </c:pt>
                <c:pt idx="41">
                  <c:v>5.1366780303187228E-3</c:v>
                </c:pt>
                <c:pt idx="42">
                  <c:v>5.0934529236211154E-3</c:v>
                </c:pt>
                <c:pt idx="43">
                  <c:v>5.0533377700865013E-3</c:v>
                </c:pt>
                <c:pt idx="44">
                  <c:v>5.0163325697148752E-3</c:v>
                </c:pt>
                <c:pt idx="45">
                  <c:v>4.9824373225062432E-3</c:v>
                </c:pt>
                <c:pt idx="46">
                  <c:v>4.9516520284605984E-3</c:v>
                </c:pt>
                <c:pt idx="47">
                  <c:v>4.9239766875779478E-3</c:v>
                </c:pt>
                <c:pt idx="48">
                  <c:v>4.8994112998582912E-3</c:v>
                </c:pt>
                <c:pt idx="49">
                  <c:v>4.8779558653016218E-3</c:v>
                </c:pt>
                <c:pt idx="50">
                  <c:v>4.8596103839079396E-3</c:v>
                </c:pt>
                <c:pt idx="51">
                  <c:v>4.8443748556772585E-3</c:v>
                </c:pt>
                <c:pt idx="52">
                  <c:v>4.8322492806095645E-3</c:v>
                </c:pt>
                <c:pt idx="53">
                  <c:v>4.8232336587048577E-3</c:v>
                </c:pt>
                <c:pt idx="54">
                  <c:v>4.8173279899631442E-3</c:v>
                </c:pt>
                <c:pt idx="55">
                  <c:v>4.8145322743844334E-3</c:v>
                </c:pt>
                <c:pt idx="56">
                  <c:v>4.8148465119687012E-3</c:v>
                </c:pt>
                <c:pt idx="57">
                  <c:v>4.8182707027159639E-3</c:v>
                </c:pt>
                <c:pt idx="58">
                  <c:v>4.8248048466262138E-3</c:v>
                </c:pt>
                <c:pt idx="59">
                  <c:v>4.8344489436994657E-3</c:v>
                </c:pt>
                <c:pt idx="60">
                  <c:v>4.847202993935696E-3</c:v>
                </c:pt>
                <c:pt idx="61">
                  <c:v>4.8630669973349283E-3</c:v>
                </c:pt>
                <c:pt idx="62">
                  <c:v>4.8820409538971408E-3</c:v>
                </c:pt>
                <c:pt idx="63">
                  <c:v>4.9041248636223613E-3</c:v>
                </c:pt>
                <c:pt idx="64">
                  <c:v>4.929318726510562E-3</c:v>
                </c:pt>
                <c:pt idx="65">
                  <c:v>4.9576225425617491E-3</c:v>
                </c:pt>
                <c:pt idx="66">
                  <c:v>4.9890363117759389E-3</c:v>
                </c:pt>
                <c:pt idx="67">
                  <c:v>5.0235600341531142E-3</c:v>
                </c:pt>
                <c:pt idx="68">
                  <c:v>5.0611937096932845E-3</c:v>
                </c:pt>
                <c:pt idx="69">
                  <c:v>5.1019373383964419E-3</c:v>
                </c:pt>
                <c:pt idx="70">
                  <c:v>5.1457909202625935E-3</c:v>
                </c:pt>
                <c:pt idx="71">
                  <c:v>5.1927544552917322E-3</c:v>
                </c:pt>
                <c:pt idx="72">
                  <c:v>5.2428279434838659E-3</c:v>
                </c:pt>
                <c:pt idx="73">
                  <c:v>5.296011384838992E-3</c:v>
                </c:pt>
                <c:pt idx="74">
                  <c:v>5.3523047793571001E-3</c:v>
                </c:pt>
                <c:pt idx="75">
                  <c:v>5.4117081270382145E-3</c:v>
                </c:pt>
                <c:pt idx="76">
                  <c:v>5.474221427882309E-3</c:v>
                </c:pt>
                <c:pt idx="77">
                  <c:v>5.5398446818893995E-3</c:v>
                </c:pt>
                <c:pt idx="78">
                  <c:v>5.6085778890594823E-3</c:v>
                </c:pt>
                <c:pt idx="79">
                  <c:v>5.680421049392561E-3</c:v>
                </c:pt>
                <c:pt idx="80">
                  <c:v>5.7553741628886181E-3</c:v>
                </c:pt>
              </c:numCache>
            </c:numRef>
          </c:val>
          <c:extLst>
            <c:ext xmlns:c16="http://schemas.microsoft.com/office/drawing/2014/chart" uri="{C3380CC4-5D6E-409C-BE32-E72D297353CC}">
              <c16:uniqueId val="{00000042-A84F-4AFF-90AD-1264CB609548}"/>
            </c:ext>
          </c:extLst>
        </c:ser>
        <c:ser>
          <c:idx val="67"/>
          <c:order val="67"/>
          <c:tx>
            <c:strRef>
              <c:f>Interpolation!$S$70</c:f>
              <c:strCache>
                <c:ptCount val="1"/>
                <c:pt idx="0">
                  <c:v>36.7</c:v>
                </c:pt>
              </c:strCache>
            </c:strRef>
          </c:tx>
          <c:spPr>
            <a:solidFill>
              <a:schemeClr val="accent2">
                <a:lumMod val="80000"/>
                <a:lumOff val="2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Interpolation!$T$70:$CV$70</c:f>
              <c:numCache>
                <c:formatCode>General</c:formatCode>
                <c:ptCount val="81"/>
                <c:pt idx="0">
                  <c:v>9.6027343085857905E-3</c:v>
                </c:pt>
                <c:pt idx="1">
                  <c:v>9.4319058916228007E-3</c:v>
                </c:pt>
                <c:pt idx="2">
                  <c:v>9.2641874278228068E-3</c:v>
                </c:pt>
                <c:pt idx="3">
                  <c:v>9.099578917185807E-3</c:v>
                </c:pt>
                <c:pt idx="4">
                  <c:v>8.9380803597118013E-3</c:v>
                </c:pt>
                <c:pt idx="5">
                  <c:v>8.7796917554007758E-3</c:v>
                </c:pt>
                <c:pt idx="6">
                  <c:v>8.6244131042527428E-3</c:v>
                </c:pt>
                <c:pt idx="7">
                  <c:v>8.4722444062676917E-3</c:v>
                </c:pt>
                <c:pt idx="8">
                  <c:v>8.3231856614456486E-3</c:v>
                </c:pt>
                <c:pt idx="9">
                  <c:v>8.1772368697865996E-3</c:v>
                </c:pt>
                <c:pt idx="10">
                  <c:v>8.0343980312905291E-3</c:v>
                </c:pt>
                <c:pt idx="11">
                  <c:v>7.8946691459574544E-3</c:v>
                </c:pt>
                <c:pt idx="12">
                  <c:v>7.7580502137873739E-3</c:v>
                </c:pt>
                <c:pt idx="13">
                  <c:v>7.6245412347802875E-3</c:v>
                </c:pt>
                <c:pt idx="14">
                  <c:v>7.4941422089361805E-3</c:v>
                </c:pt>
                <c:pt idx="15">
                  <c:v>7.3668531362550754E-3</c:v>
                </c:pt>
                <c:pt idx="16">
                  <c:v>7.2426740167369566E-3</c:v>
                </c:pt>
                <c:pt idx="17">
                  <c:v>7.1216048503818258E-3</c:v>
                </c:pt>
                <c:pt idx="18">
                  <c:v>7.0036456371896953E-3</c:v>
                </c:pt>
                <c:pt idx="19">
                  <c:v>6.8887963771605528E-3</c:v>
                </c:pt>
                <c:pt idx="20">
                  <c:v>6.7770570702943966E-3</c:v>
                </c:pt>
                <c:pt idx="21">
                  <c:v>6.6684277165912423E-3</c:v>
                </c:pt>
                <c:pt idx="22">
                  <c:v>6.5629083160510752E-3</c:v>
                </c:pt>
                <c:pt idx="23">
                  <c:v>6.4604988686738944E-3</c:v>
                </c:pt>
                <c:pt idx="24">
                  <c:v>6.3611993744597077E-3</c:v>
                </c:pt>
                <c:pt idx="25">
                  <c:v>6.2650098334085091E-3</c:v>
                </c:pt>
                <c:pt idx="26">
                  <c:v>6.1719302455203115E-3</c:v>
                </c:pt>
                <c:pt idx="27">
                  <c:v>6.0819606107951002E-3</c:v>
                </c:pt>
                <c:pt idx="28">
                  <c:v>5.9951009292328761E-3</c:v>
                </c:pt>
                <c:pt idx="29">
                  <c:v>5.911351200833647E-3</c:v>
                </c:pt>
                <c:pt idx="30">
                  <c:v>5.8307114255974121E-3</c:v>
                </c:pt>
                <c:pt idx="31">
                  <c:v>5.7531816035241642E-3</c:v>
                </c:pt>
                <c:pt idx="32">
                  <c:v>5.6787617346139097E-3</c:v>
                </c:pt>
                <c:pt idx="33">
                  <c:v>5.6074518188666423E-3</c:v>
                </c:pt>
                <c:pt idx="34">
                  <c:v>5.5392518562823699E-3</c:v>
                </c:pt>
                <c:pt idx="35">
                  <c:v>5.4741618468610916E-3</c:v>
                </c:pt>
                <c:pt idx="36">
                  <c:v>5.4121817906027997E-3</c:v>
                </c:pt>
                <c:pt idx="37">
                  <c:v>5.3533116875075018E-3</c:v>
                </c:pt>
                <c:pt idx="38">
                  <c:v>5.2975515375751989E-3</c:v>
                </c:pt>
                <c:pt idx="39">
                  <c:v>5.2449013408058832E-3</c:v>
                </c:pt>
                <c:pt idx="40">
                  <c:v>5.1953610971995539E-3</c:v>
                </c:pt>
                <c:pt idx="41">
                  <c:v>5.1489308067562195E-3</c:v>
                </c:pt>
                <c:pt idx="42">
                  <c:v>5.1056104694758783E-3</c:v>
                </c:pt>
                <c:pt idx="43">
                  <c:v>5.0654000853585322E-3</c:v>
                </c:pt>
                <c:pt idx="44">
                  <c:v>5.0282996544041723E-3</c:v>
                </c:pt>
                <c:pt idx="45">
                  <c:v>4.9943091766128074E-3</c:v>
                </c:pt>
                <c:pt idx="46">
                  <c:v>4.9634286519844289E-3</c:v>
                </c:pt>
                <c:pt idx="47">
                  <c:v>4.9356580805190453E-3</c:v>
                </c:pt>
                <c:pt idx="48">
                  <c:v>4.9109974622166559E-3</c:v>
                </c:pt>
                <c:pt idx="49">
                  <c:v>4.8894467970772536E-3</c:v>
                </c:pt>
                <c:pt idx="50">
                  <c:v>4.8710060851008376E-3</c:v>
                </c:pt>
                <c:pt idx="51">
                  <c:v>4.8556753262874227E-3</c:v>
                </c:pt>
                <c:pt idx="52">
                  <c:v>4.8434545206369958E-3</c:v>
                </c:pt>
                <c:pt idx="53">
                  <c:v>4.8343436681495553E-3</c:v>
                </c:pt>
                <c:pt idx="54">
                  <c:v>4.8283427688251097E-3</c:v>
                </c:pt>
                <c:pt idx="55">
                  <c:v>4.8254518226636643E-3</c:v>
                </c:pt>
                <c:pt idx="56">
                  <c:v>4.8256708296652E-3</c:v>
                </c:pt>
                <c:pt idx="57">
                  <c:v>4.828999789829729E-3</c:v>
                </c:pt>
                <c:pt idx="58">
                  <c:v>4.8354387031572452E-3</c:v>
                </c:pt>
                <c:pt idx="59">
                  <c:v>4.8449875696477641E-3</c:v>
                </c:pt>
                <c:pt idx="60">
                  <c:v>4.8576463893012616E-3</c:v>
                </c:pt>
                <c:pt idx="61">
                  <c:v>4.8734151621177609E-3</c:v>
                </c:pt>
                <c:pt idx="62">
                  <c:v>4.8922938880972405E-3</c:v>
                </c:pt>
                <c:pt idx="63">
                  <c:v>4.9142825672397273E-3</c:v>
                </c:pt>
                <c:pt idx="64">
                  <c:v>4.9393811995451942E-3</c:v>
                </c:pt>
                <c:pt idx="65">
                  <c:v>4.9675897850136493E-3</c:v>
                </c:pt>
                <c:pt idx="66">
                  <c:v>4.9989083236451045E-3</c:v>
                </c:pt>
                <c:pt idx="67">
                  <c:v>5.0333368154395468E-3</c:v>
                </c:pt>
                <c:pt idx="68">
                  <c:v>5.0708752603969842E-3</c:v>
                </c:pt>
                <c:pt idx="69">
                  <c:v>5.1115236585174088E-3</c:v>
                </c:pt>
                <c:pt idx="70">
                  <c:v>5.1552820098008274E-3</c:v>
                </c:pt>
                <c:pt idx="71">
                  <c:v>5.2021503142472324E-3</c:v>
                </c:pt>
                <c:pt idx="72">
                  <c:v>5.2521285718566324E-3</c:v>
                </c:pt>
                <c:pt idx="73">
                  <c:v>5.3052167826290256E-3</c:v>
                </c:pt>
                <c:pt idx="74">
                  <c:v>5.3614149465643999E-3</c:v>
                </c:pt>
                <c:pt idx="75">
                  <c:v>5.4207230636627813E-3</c:v>
                </c:pt>
                <c:pt idx="76">
                  <c:v>5.483141133924143E-3</c:v>
                </c:pt>
                <c:pt idx="77">
                  <c:v>5.5486691573484997E-3</c:v>
                </c:pt>
                <c:pt idx="78">
                  <c:v>5.6173071339358505E-3</c:v>
                </c:pt>
                <c:pt idx="79">
                  <c:v>5.6890550636861954E-3</c:v>
                </c:pt>
                <c:pt idx="80">
                  <c:v>5.7639129465995196E-3</c:v>
                </c:pt>
              </c:numCache>
            </c:numRef>
          </c:val>
          <c:extLst>
            <c:ext xmlns:c16="http://schemas.microsoft.com/office/drawing/2014/chart" uri="{C3380CC4-5D6E-409C-BE32-E72D297353CC}">
              <c16:uniqueId val="{00000043-A84F-4AFF-90AD-1264CB609548}"/>
            </c:ext>
          </c:extLst>
        </c:ser>
        <c:ser>
          <c:idx val="68"/>
          <c:order val="68"/>
          <c:tx>
            <c:strRef>
              <c:f>Interpolation!$S$71</c:f>
              <c:strCache>
                <c:ptCount val="1"/>
                <c:pt idx="0">
                  <c:v>36.8</c:v>
                </c:pt>
              </c:strCache>
            </c:strRef>
          </c:tx>
          <c:spPr>
            <a:solidFill>
              <a:schemeClr val="accent3">
                <a:lumMod val="80000"/>
                <a:lumOff val="2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Interpolation!$T$71:$CV$71</c:f>
              <c:numCache>
                <c:formatCode>General</c:formatCode>
                <c:ptCount val="81"/>
                <c:pt idx="0">
                  <c:v>9.619791992642188E-3</c:v>
                </c:pt>
                <c:pt idx="1">
                  <c:v>9.4488683450964662E-3</c:v>
                </c:pt>
                <c:pt idx="2">
                  <c:v>9.2810546507137385E-3</c:v>
                </c:pt>
                <c:pt idx="3">
                  <c:v>9.1163509094940049E-3</c:v>
                </c:pt>
                <c:pt idx="4">
                  <c:v>8.9547571214372654E-3</c:v>
                </c:pt>
                <c:pt idx="5">
                  <c:v>8.7962732865435062E-3</c:v>
                </c:pt>
                <c:pt idx="6">
                  <c:v>8.6408994048127411E-3</c:v>
                </c:pt>
                <c:pt idx="7">
                  <c:v>8.488635476244958E-3</c:v>
                </c:pt>
                <c:pt idx="8">
                  <c:v>8.3394815008401811E-3</c:v>
                </c:pt>
                <c:pt idx="9">
                  <c:v>8.1934374785983984E-3</c:v>
                </c:pt>
                <c:pt idx="10">
                  <c:v>8.0505034095195958E-3</c:v>
                </c:pt>
                <c:pt idx="11">
                  <c:v>7.9106792936037874E-3</c:v>
                </c:pt>
                <c:pt idx="12">
                  <c:v>7.7739651308509732E-3</c:v>
                </c:pt>
                <c:pt idx="13">
                  <c:v>7.640360921261153E-3</c:v>
                </c:pt>
                <c:pt idx="14">
                  <c:v>7.5098666648343131E-3</c:v>
                </c:pt>
                <c:pt idx="15">
                  <c:v>7.3824823615704742E-3</c:v>
                </c:pt>
                <c:pt idx="16">
                  <c:v>7.2582080114696234E-3</c:v>
                </c:pt>
                <c:pt idx="17">
                  <c:v>7.1370436145317588E-3</c:v>
                </c:pt>
                <c:pt idx="18">
                  <c:v>7.0189891707568954E-3</c:v>
                </c:pt>
                <c:pt idx="19">
                  <c:v>6.9040446801450191E-3</c:v>
                </c:pt>
                <c:pt idx="20">
                  <c:v>6.7922101426961309E-3</c:v>
                </c:pt>
                <c:pt idx="21">
                  <c:v>6.6834855584102428E-3</c:v>
                </c:pt>
                <c:pt idx="22">
                  <c:v>6.5778709272873419E-3</c:v>
                </c:pt>
                <c:pt idx="23">
                  <c:v>6.4753662493274283E-3</c:v>
                </c:pt>
                <c:pt idx="24">
                  <c:v>6.3759715245305087E-3</c:v>
                </c:pt>
                <c:pt idx="25">
                  <c:v>6.2796867528965763E-3</c:v>
                </c:pt>
                <c:pt idx="26">
                  <c:v>6.1865119344256458E-3</c:v>
                </c:pt>
                <c:pt idx="27">
                  <c:v>6.0964470691177016E-3</c:v>
                </c:pt>
                <c:pt idx="28">
                  <c:v>6.0094921569727447E-3</c:v>
                </c:pt>
                <c:pt idx="29">
                  <c:v>5.9256471979907818E-3</c:v>
                </c:pt>
                <c:pt idx="30">
                  <c:v>5.844912192171813E-3</c:v>
                </c:pt>
                <c:pt idx="31">
                  <c:v>5.7672871395158323E-3</c:v>
                </c:pt>
                <c:pt idx="32">
                  <c:v>5.6927720400228449E-3</c:v>
                </c:pt>
                <c:pt idx="33">
                  <c:v>5.6213668936928446E-3</c:v>
                </c:pt>
                <c:pt idx="34">
                  <c:v>5.5530717005258384E-3</c:v>
                </c:pt>
                <c:pt idx="35">
                  <c:v>5.4878864605218264E-3</c:v>
                </c:pt>
                <c:pt idx="36">
                  <c:v>5.4258111736808015E-3</c:v>
                </c:pt>
                <c:pt idx="37">
                  <c:v>5.3668458400027708E-3</c:v>
                </c:pt>
                <c:pt idx="38">
                  <c:v>5.310990459487735E-3</c:v>
                </c:pt>
                <c:pt idx="39">
                  <c:v>5.2582450321356855E-3</c:v>
                </c:pt>
                <c:pt idx="40">
                  <c:v>5.2086095579466233E-3</c:v>
                </c:pt>
                <c:pt idx="41">
                  <c:v>5.1620840369205551E-3</c:v>
                </c:pt>
                <c:pt idx="42">
                  <c:v>5.1186684690574819E-3</c:v>
                </c:pt>
                <c:pt idx="43">
                  <c:v>5.078362854357402E-3</c:v>
                </c:pt>
                <c:pt idx="44">
                  <c:v>5.0411671928203092E-3</c:v>
                </c:pt>
                <c:pt idx="45">
                  <c:v>5.0070814844462106E-3</c:v>
                </c:pt>
                <c:pt idx="46">
                  <c:v>4.9761057292350992E-3</c:v>
                </c:pt>
                <c:pt idx="47">
                  <c:v>4.9482399271869818E-3</c:v>
                </c:pt>
                <c:pt idx="48">
                  <c:v>4.9234840783018586E-3</c:v>
                </c:pt>
                <c:pt idx="49">
                  <c:v>4.9018381825797234E-3</c:v>
                </c:pt>
                <c:pt idx="50">
                  <c:v>4.8833022400205746E-3</c:v>
                </c:pt>
                <c:pt idx="51">
                  <c:v>4.8678762506244276E-3</c:v>
                </c:pt>
                <c:pt idx="52">
                  <c:v>4.855560214391267E-3</c:v>
                </c:pt>
                <c:pt idx="53">
                  <c:v>4.8463541313210935E-3</c:v>
                </c:pt>
                <c:pt idx="54">
                  <c:v>4.8402580014139142E-3</c:v>
                </c:pt>
                <c:pt idx="55">
                  <c:v>4.8372718246697359E-3</c:v>
                </c:pt>
                <c:pt idx="56">
                  <c:v>4.8373956010885379E-3</c:v>
                </c:pt>
                <c:pt idx="57">
                  <c:v>4.8406293306703339E-3</c:v>
                </c:pt>
                <c:pt idx="58">
                  <c:v>4.8469730134151172E-3</c:v>
                </c:pt>
                <c:pt idx="59">
                  <c:v>4.8564266493229024E-3</c:v>
                </c:pt>
                <c:pt idx="60">
                  <c:v>4.8689902383936669E-3</c:v>
                </c:pt>
                <c:pt idx="61">
                  <c:v>4.8846637806274325E-3</c:v>
                </c:pt>
                <c:pt idx="62">
                  <c:v>4.9034472760241792E-3</c:v>
                </c:pt>
                <c:pt idx="63">
                  <c:v>4.9253407245839331E-3</c:v>
                </c:pt>
                <c:pt idx="64">
                  <c:v>4.9503441263066671E-3</c:v>
                </c:pt>
                <c:pt idx="65">
                  <c:v>4.9784574811923884E-3</c:v>
                </c:pt>
                <c:pt idx="66">
                  <c:v>5.0096807892411107E-3</c:v>
                </c:pt>
                <c:pt idx="67">
                  <c:v>5.0440140504528202E-3</c:v>
                </c:pt>
                <c:pt idx="68">
                  <c:v>5.0814572648275238E-3</c:v>
                </c:pt>
                <c:pt idx="69">
                  <c:v>5.1220104323652146E-3</c:v>
                </c:pt>
                <c:pt idx="70">
                  <c:v>5.1656735530658995E-3</c:v>
                </c:pt>
                <c:pt idx="71">
                  <c:v>5.2124466269295715E-3</c:v>
                </c:pt>
                <c:pt idx="72">
                  <c:v>5.2623296539562395E-3</c:v>
                </c:pt>
                <c:pt idx="73">
                  <c:v>5.3153226341458998E-3</c:v>
                </c:pt>
                <c:pt idx="74">
                  <c:v>5.3714255674985403E-3</c:v>
                </c:pt>
                <c:pt idx="75">
                  <c:v>5.4306384540141889E-3</c:v>
                </c:pt>
                <c:pt idx="76">
                  <c:v>5.4929612936928177E-3</c:v>
                </c:pt>
                <c:pt idx="77">
                  <c:v>5.5583940865344406E-3</c:v>
                </c:pt>
                <c:pt idx="78">
                  <c:v>5.6269368325390576E-3</c:v>
                </c:pt>
                <c:pt idx="79">
                  <c:v>5.6985895317066687E-3</c:v>
                </c:pt>
                <c:pt idx="80">
                  <c:v>5.7733521840372601E-3</c:v>
                </c:pt>
              </c:numCache>
            </c:numRef>
          </c:val>
          <c:extLst>
            <c:ext xmlns:c16="http://schemas.microsoft.com/office/drawing/2014/chart" uri="{C3380CC4-5D6E-409C-BE32-E72D297353CC}">
              <c16:uniqueId val="{00000044-A84F-4AFF-90AD-1264CB609548}"/>
            </c:ext>
          </c:extLst>
        </c:ser>
        <c:ser>
          <c:idx val="69"/>
          <c:order val="69"/>
          <c:tx>
            <c:strRef>
              <c:f>Interpolation!$S$72</c:f>
              <c:strCache>
                <c:ptCount val="1"/>
                <c:pt idx="0">
                  <c:v>36.9</c:v>
                </c:pt>
              </c:strCache>
            </c:strRef>
          </c:tx>
          <c:spPr>
            <a:solidFill>
              <a:schemeClr val="accent4">
                <a:lumMod val="80000"/>
                <a:lumOff val="2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Interpolation!$T$72:$CV$72</c:f>
              <c:numCache>
                <c:formatCode>General</c:formatCode>
                <c:ptCount val="81"/>
                <c:pt idx="0">
                  <c:v>9.6377501304253828E-3</c:v>
                </c:pt>
                <c:pt idx="1">
                  <c:v>9.4667312522969272E-3</c:v>
                </c:pt>
                <c:pt idx="2">
                  <c:v>9.2988223273314675E-3</c:v>
                </c:pt>
                <c:pt idx="3">
                  <c:v>9.1340233555290001E-3</c:v>
                </c:pt>
                <c:pt idx="4">
                  <c:v>8.9723343368895286E-3</c:v>
                </c:pt>
                <c:pt idx="5">
                  <c:v>8.8137552714130356E-3</c:v>
                </c:pt>
                <c:pt idx="6">
                  <c:v>8.6582861590995368E-3</c:v>
                </c:pt>
                <c:pt idx="7">
                  <c:v>8.5059269999490199E-3</c:v>
                </c:pt>
                <c:pt idx="8">
                  <c:v>8.3566777939615092E-3</c:v>
                </c:pt>
                <c:pt idx="9">
                  <c:v>8.2105385411369945E-3</c:v>
                </c:pt>
                <c:pt idx="10">
                  <c:v>8.0675092414754582E-3</c:v>
                </c:pt>
                <c:pt idx="11">
                  <c:v>7.9275898949769177E-3</c:v>
                </c:pt>
                <c:pt idx="12">
                  <c:v>7.7907805016413697E-3</c:v>
                </c:pt>
                <c:pt idx="13">
                  <c:v>7.6570810614688166E-3</c:v>
                </c:pt>
                <c:pt idx="14">
                  <c:v>7.5264915744592438E-3</c:v>
                </c:pt>
                <c:pt idx="15">
                  <c:v>7.3990120406126712E-3</c:v>
                </c:pt>
                <c:pt idx="16">
                  <c:v>7.2746424599290866E-3</c:v>
                </c:pt>
                <c:pt idx="17">
                  <c:v>7.1533828324084892E-3</c:v>
                </c:pt>
                <c:pt idx="18">
                  <c:v>7.0352331580508928E-3</c:v>
                </c:pt>
                <c:pt idx="19">
                  <c:v>6.9201934368562836E-3</c:v>
                </c:pt>
                <c:pt idx="20">
                  <c:v>6.8082636688246607E-3</c:v>
                </c:pt>
                <c:pt idx="21">
                  <c:v>6.6994438539560398E-3</c:v>
                </c:pt>
                <c:pt idx="22">
                  <c:v>6.593733992250406E-3</c:v>
                </c:pt>
                <c:pt idx="23">
                  <c:v>6.4911340837077586E-3</c:v>
                </c:pt>
                <c:pt idx="24">
                  <c:v>6.391644128328107E-3</c:v>
                </c:pt>
                <c:pt idx="25">
                  <c:v>6.2952641261114408E-3</c:v>
                </c:pt>
                <c:pt idx="26">
                  <c:v>6.2019940770577766E-3</c:v>
                </c:pt>
                <c:pt idx="27">
                  <c:v>6.1118339811670995E-3</c:v>
                </c:pt>
                <c:pt idx="28">
                  <c:v>6.0247838384394096E-3</c:v>
                </c:pt>
                <c:pt idx="29">
                  <c:v>5.9408436488747138E-3</c:v>
                </c:pt>
                <c:pt idx="30">
                  <c:v>5.8600134124730113E-3</c:v>
                </c:pt>
                <c:pt idx="31">
                  <c:v>5.7822931292342977E-3</c:v>
                </c:pt>
                <c:pt idx="32">
                  <c:v>5.7076827991585765E-3</c:v>
                </c:pt>
                <c:pt idx="33">
                  <c:v>5.6361824222458433E-3</c:v>
                </c:pt>
                <c:pt idx="34">
                  <c:v>5.5677919984961043E-3</c:v>
                </c:pt>
                <c:pt idx="35">
                  <c:v>5.5025115279093584E-3</c:v>
                </c:pt>
                <c:pt idx="36">
                  <c:v>5.4403410104856007E-3</c:v>
                </c:pt>
                <c:pt idx="37">
                  <c:v>5.381280446224837E-3</c:v>
                </c:pt>
                <c:pt idx="38">
                  <c:v>5.3253298351270675E-3</c:v>
                </c:pt>
                <c:pt idx="39">
                  <c:v>5.2724891771922851E-3</c:v>
                </c:pt>
                <c:pt idx="40">
                  <c:v>5.2227584724204891E-3</c:v>
                </c:pt>
                <c:pt idx="41">
                  <c:v>5.1761377208116889E-3</c:v>
                </c:pt>
                <c:pt idx="42">
                  <c:v>5.1326269223658811E-3</c:v>
                </c:pt>
                <c:pt idx="43">
                  <c:v>5.0922260770830683E-3</c:v>
                </c:pt>
                <c:pt idx="44">
                  <c:v>5.0549351849632426E-3</c:v>
                </c:pt>
                <c:pt idx="45">
                  <c:v>5.0207542460064102E-3</c:v>
                </c:pt>
                <c:pt idx="46">
                  <c:v>4.9896832602125667E-3</c:v>
                </c:pt>
                <c:pt idx="47">
                  <c:v>4.9617222275817156E-3</c:v>
                </c:pt>
                <c:pt idx="48">
                  <c:v>4.9368711481138595E-3</c:v>
                </c:pt>
                <c:pt idx="49">
                  <c:v>4.9151300218089906E-3</c:v>
                </c:pt>
                <c:pt idx="50">
                  <c:v>4.8964988486671088E-3</c:v>
                </c:pt>
                <c:pt idx="51">
                  <c:v>4.8809776286882281E-3</c:v>
                </c:pt>
                <c:pt idx="52">
                  <c:v>4.8685663618723337E-3</c:v>
                </c:pt>
                <c:pt idx="53">
                  <c:v>4.8592650482194273E-3</c:v>
                </c:pt>
                <c:pt idx="54">
                  <c:v>4.8530736877295151E-3</c:v>
                </c:pt>
                <c:pt idx="55">
                  <c:v>4.8499922804026039E-3</c:v>
                </c:pt>
                <c:pt idx="56">
                  <c:v>4.8500208262386721E-3</c:v>
                </c:pt>
                <c:pt idx="57">
                  <c:v>4.8531593252377353E-3</c:v>
                </c:pt>
                <c:pt idx="58">
                  <c:v>4.8594077773997857E-3</c:v>
                </c:pt>
                <c:pt idx="59">
                  <c:v>4.8687661827248371E-3</c:v>
                </c:pt>
                <c:pt idx="60">
                  <c:v>4.8812345412128687E-3</c:v>
                </c:pt>
                <c:pt idx="61">
                  <c:v>4.8968128528639014E-3</c:v>
                </c:pt>
                <c:pt idx="62">
                  <c:v>4.9155011176779135E-3</c:v>
                </c:pt>
                <c:pt idx="63">
                  <c:v>4.9372993356549353E-3</c:v>
                </c:pt>
                <c:pt idx="64">
                  <c:v>4.9622075067949356E-3</c:v>
                </c:pt>
                <c:pt idx="65">
                  <c:v>4.9902256310979231E-3</c:v>
                </c:pt>
                <c:pt idx="66">
                  <c:v>5.0213537085639134E-3</c:v>
                </c:pt>
                <c:pt idx="67">
                  <c:v>5.0555917391928891E-3</c:v>
                </c:pt>
                <c:pt idx="68">
                  <c:v>5.0929397229848598E-3</c:v>
                </c:pt>
                <c:pt idx="69">
                  <c:v>5.1333976599398177E-3</c:v>
                </c:pt>
                <c:pt idx="70">
                  <c:v>5.1769655500577688E-3</c:v>
                </c:pt>
                <c:pt idx="71">
                  <c:v>5.2236433933387089E-3</c:v>
                </c:pt>
                <c:pt idx="72">
                  <c:v>5.2734311897826422E-3</c:v>
                </c:pt>
                <c:pt idx="73">
                  <c:v>5.3263289393895696E-3</c:v>
                </c:pt>
                <c:pt idx="74">
                  <c:v>5.3823366421594764E-3</c:v>
                </c:pt>
                <c:pt idx="75">
                  <c:v>5.441454298092392E-3</c:v>
                </c:pt>
                <c:pt idx="76">
                  <c:v>5.5036819071882879E-3</c:v>
                </c:pt>
                <c:pt idx="77">
                  <c:v>5.569019469447177E-3</c:v>
                </c:pt>
                <c:pt idx="78">
                  <c:v>5.637466984869062E-3</c:v>
                </c:pt>
                <c:pt idx="79">
                  <c:v>5.7090244534539394E-3</c:v>
                </c:pt>
                <c:pt idx="80">
                  <c:v>5.7836918752017978E-3</c:v>
                </c:pt>
              </c:numCache>
            </c:numRef>
          </c:val>
          <c:extLst>
            <c:ext xmlns:c16="http://schemas.microsoft.com/office/drawing/2014/chart" uri="{C3380CC4-5D6E-409C-BE32-E72D297353CC}">
              <c16:uniqueId val="{00000045-A84F-4AFF-90AD-1264CB609548}"/>
            </c:ext>
          </c:extLst>
        </c:ser>
        <c:ser>
          <c:idx val="70"/>
          <c:order val="70"/>
          <c:tx>
            <c:strRef>
              <c:f>Interpolation!$S$73</c:f>
              <c:strCache>
                <c:ptCount val="1"/>
                <c:pt idx="0">
                  <c:v>37</c:v>
                </c:pt>
              </c:strCache>
            </c:strRef>
          </c:tx>
          <c:spPr>
            <a:solidFill>
              <a:schemeClr val="accent5">
                <a:lumMod val="80000"/>
                <a:lumOff val="2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Interpolation!$T$73:$CV$73</c:f>
              <c:numCache>
                <c:formatCode>General</c:formatCode>
                <c:ptCount val="81"/>
                <c:pt idx="0">
                  <c:v>9.6566087219354026E-3</c:v>
                </c:pt>
                <c:pt idx="1">
                  <c:v>9.485494613224215E-3</c:v>
                </c:pt>
                <c:pt idx="2">
                  <c:v>9.3174904576760215E-3</c:v>
                </c:pt>
                <c:pt idx="3">
                  <c:v>9.1525962552908204E-3</c:v>
                </c:pt>
                <c:pt idx="4">
                  <c:v>8.9908120060686152E-3</c:v>
                </c:pt>
                <c:pt idx="5">
                  <c:v>8.8321377100093901E-3</c:v>
                </c:pt>
                <c:pt idx="6">
                  <c:v>8.6765733671131592E-3</c:v>
                </c:pt>
                <c:pt idx="7">
                  <c:v>8.5241189773799068E-3</c:v>
                </c:pt>
                <c:pt idx="8">
                  <c:v>8.3747745408096642E-3</c:v>
                </c:pt>
                <c:pt idx="9">
                  <c:v>8.2285400574024156E-3</c:v>
                </c:pt>
                <c:pt idx="10">
                  <c:v>8.0854155271581456E-3</c:v>
                </c:pt>
                <c:pt idx="11">
                  <c:v>7.9454009500768714E-3</c:v>
                </c:pt>
                <c:pt idx="12">
                  <c:v>7.8084963261585913E-3</c:v>
                </c:pt>
                <c:pt idx="13">
                  <c:v>7.6747016554033045E-3</c:v>
                </c:pt>
                <c:pt idx="14">
                  <c:v>7.5440169378109987E-3</c:v>
                </c:pt>
                <c:pt idx="15">
                  <c:v>7.4164421733816932E-3</c:v>
                </c:pt>
                <c:pt idx="16">
                  <c:v>7.2919773621153757E-3</c:v>
                </c:pt>
                <c:pt idx="17">
                  <c:v>7.1706225040120445E-3</c:v>
                </c:pt>
                <c:pt idx="18">
                  <c:v>7.0523775990717144E-3</c:v>
                </c:pt>
                <c:pt idx="19">
                  <c:v>6.9372426472943723E-3</c:v>
                </c:pt>
                <c:pt idx="20">
                  <c:v>6.8252176486800166E-3</c:v>
                </c:pt>
                <c:pt idx="21">
                  <c:v>6.7163026032286627E-3</c:v>
                </c:pt>
                <c:pt idx="22">
                  <c:v>6.6104975109402952E-3</c:v>
                </c:pt>
                <c:pt idx="23">
                  <c:v>6.5078023718149157E-3</c:v>
                </c:pt>
                <c:pt idx="24">
                  <c:v>6.4082171858525295E-3</c:v>
                </c:pt>
                <c:pt idx="25">
                  <c:v>6.3117419530531304E-3</c:v>
                </c:pt>
                <c:pt idx="26">
                  <c:v>6.2183766734167333E-3</c:v>
                </c:pt>
                <c:pt idx="27">
                  <c:v>6.1281213469433233E-3</c:v>
                </c:pt>
                <c:pt idx="28">
                  <c:v>6.0409759736328996E-3</c:v>
                </c:pt>
                <c:pt idx="29">
                  <c:v>5.9569405534854701E-3</c:v>
                </c:pt>
                <c:pt idx="30">
                  <c:v>5.8760150865010356E-3</c:v>
                </c:pt>
                <c:pt idx="31">
                  <c:v>5.7981995726795873E-3</c:v>
                </c:pt>
                <c:pt idx="32">
                  <c:v>5.7234940120211341E-3</c:v>
                </c:pt>
                <c:pt idx="33">
                  <c:v>5.6518984045256671E-3</c:v>
                </c:pt>
                <c:pt idx="34">
                  <c:v>5.5834127501931943E-3</c:v>
                </c:pt>
                <c:pt idx="35">
                  <c:v>5.5180370490237165E-3</c:v>
                </c:pt>
                <c:pt idx="36">
                  <c:v>5.4557713010172249E-3</c:v>
                </c:pt>
                <c:pt idx="37">
                  <c:v>5.3966155061737284E-3</c:v>
                </c:pt>
                <c:pt idx="38">
                  <c:v>5.3405696644932251E-3</c:v>
                </c:pt>
                <c:pt idx="39">
                  <c:v>5.2876337759757098E-3</c:v>
                </c:pt>
                <c:pt idx="40">
                  <c:v>5.2378078406211809E-3</c:v>
                </c:pt>
                <c:pt idx="41">
                  <c:v>5.1910918584296469E-3</c:v>
                </c:pt>
                <c:pt idx="42">
                  <c:v>5.1474858294011062E-3</c:v>
                </c:pt>
                <c:pt idx="43">
                  <c:v>5.1069897535355596E-3</c:v>
                </c:pt>
                <c:pt idx="44">
                  <c:v>5.0696036308330011E-3</c:v>
                </c:pt>
                <c:pt idx="45">
                  <c:v>5.0353274612934358E-3</c:v>
                </c:pt>
                <c:pt idx="46">
                  <c:v>5.0041612449168577E-3</c:v>
                </c:pt>
                <c:pt idx="47">
                  <c:v>4.9761049817032745E-3</c:v>
                </c:pt>
                <c:pt idx="48">
                  <c:v>4.9511586716526855E-3</c:v>
                </c:pt>
                <c:pt idx="49">
                  <c:v>4.9293223147650828E-3</c:v>
                </c:pt>
                <c:pt idx="50">
                  <c:v>4.9105959110404673E-3</c:v>
                </c:pt>
                <c:pt idx="51">
                  <c:v>4.8949794604788537E-3</c:v>
                </c:pt>
                <c:pt idx="52">
                  <c:v>4.8824729630802272E-3</c:v>
                </c:pt>
                <c:pt idx="53">
                  <c:v>4.8730764188445862E-3</c:v>
                </c:pt>
                <c:pt idx="54">
                  <c:v>4.8667898277719411E-3</c:v>
                </c:pt>
                <c:pt idx="55">
                  <c:v>4.863613189862297E-3</c:v>
                </c:pt>
                <c:pt idx="56">
                  <c:v>4.8635465051156323E-3</c:v>
                </c:pt>
                <c:pt idx="57">
                  <c:v>4.8665897735319617E-3</c:v>
                </c:pt>
                <c:pt idx="58">
                  <c:v>4.8727429951112792E-3</c:v>
                </c:pt>
                <c:pt idx="59">
                  <c:v>4.8820061698535977E-3</c:v>
                </c:pt>
                <c:pt idx="60">
                  <c:v>4.8943792977588956E-3</c:v>
                </c:pt>
                <c:pt idx="61">
                  <c:v>4.9098623788271945E-3</c:v>
                </c:pt>
                <c:pt idx="62">
                  <c:v>4.9284554130584746E-3</c:v>
                </c:pt>
                <c:pt idx="63">
                  <c:v>4.9501584004527626E-3</c:v>
                </c:pt>
                <c:pt idx="64">
                  <c:v>4.97497134101003E-3</c:v>
                </c:pt>
                <c:pt idx="65">
                  <c:v>5.0028942347302846E-3</c:v>
                </c:pt>
                <c:pt idx="66">
                  <c:v>5.0339270816135411E-3</c:v>
                </c:pt>
                <c:pt idx="67">
                  <c:v>5.0680698816597831E-3</c:v>
                </c:pt>
                <c:pt idx="68">
                  <c:v>5.1053226348690209E-3</c:v>
                </c:pt>
                <c:pt idx="69">
                  <c:v>5.1456853412412459E-3</c:v>
                </c:pt>
                <c:pt idx="70">
                  <c:v>5.1891580007764641E-3</c:v>
                </c:pt>
                <c:pt idx="71">
                  <c:v>5.2357406134746695E-3</c:v>
                </c:pt>
                <c:pt idx="72">
                  <c:v>5.2854331793358699E-3</c:v>
                </c:pt>
                <c:pt idx="73">
                  <c:v>5.3382356983600644E-3</c:v>
                </c:pt>
                <c:pt idx="74">
                  <c:v>5.3941481705472392E-3</c:v>
                </c:pt>
                <c:pt idx="75">
                  <c:v>5.4531705958974202E-3</c:v>
                </c:pt>
                <c:pt idx="76">
                  <c:v>5.5153029744105832E-3</c:v>
                </c:pt>
                <c:pt idx="77">
                  <c:v>5.5805453060867403E-3</c:v>
                </c:pt>
                <c:pt idx="78">
                  <c:v>5.6488975909258898E-3</c:v>
                </c:pt>
                <c:pt idx="79">
                  <c:v>5.7203598289280351E-3</c:v>
                </c:pt>
                <c:pt idx="80">
                  <c:v>5.7949320200931607E-3</c:v>
                </c:pt>
              </c:numCache>
            </c:numRef>
          </c:val>
          <c:extLst>
            <c:ext xmlns:c16="http://schemas.microsoft.com/office/drawing/2014/chart" uri="{C3380CC4-5D6E-409C-BE32-E72D297353CC}">
              <c16:uniqueId val="{00000046-A84F-4AFF-90AD-1264CB609548}"/>
            </c:ext>
          </c:extLst>
        </c:ser>
        <c:ser>
          <c:idx val="71"/>
          <c:order val="71"/>
          <c:tx>
            <c:strRef>
              <c:f>Interpolation!$S$74</c:f>
              <c:strCache>
                <c:ptCount val="1"/>
                <c:pt idx="0">
                  <c:v>37.1</c:v>
                </c:pt>
              </c:strCache>
            </c:strRef>
          </c:tx>
          <c:spPr>
            <a:solidFill>
              <a:schemeClr val="accent6">
                <a:lumMod val="80000"/>
                <a:lumOff val="2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Interpolation!$T$74:$CV$74</c:f>
              <c:numCache>
                <c:formatCode>General</c:formatCode>
                <c:ptCount val="81"/>
                <c:pt idx="0">
                  <c:v>9.6763677671722406E-3</c:v>
                </c:pt>
                <c:pt idx="1">
                  <c:v>9.5051584278783192E-3</c:v>
                </c:pt>
                <c:pt idx="2">
                  <c:v>9.337059041747392E-3</c:v>
                </c:pt>
                <c:pt idx="3">
                  <c:v>9.1720696087794588E-3</c:v>
                </c:pt>
                <c:pt idx="4">
                  <c:v>9.0101901289745198E-3</c:v>
                </c:pt>
                <c:pt idx="5">
                  <c:v>8.8514206023325628E-3</c:v>
                </c:pt>
                <c:pt idx="6">
                  <c:v>8.6957610288535981E-3</c:v>
                </c:pt>
                <c:pt idx="7">
                  <c:v>8.5432114085376137E-3</c:v>
                </c:pt>
                <c:pt idx="8">
                  <c:v>8.3937717413846372E-3</c:v>
                </c:pt>
                <c:pt idx="9">
                  <c:v>8.2474420273946549E-3</c:v>
                </c:pt>
                <c:pt idx="10">
                  <c:v>8.1042222665676528E-3</c:v>
                </c:pt>
                <c:pt idx="11">
                  <c:v>7.9641124589036449E-3</c:v>
                </c:pt>
                <c:pt idx="12">
                  <c:v>7.827112604402631E-3</c:v>
                </c:pt>
                <c:pt idx="13">
                  <c:v>7.6932227030646113E-3</c:v>
                </c:pt>
                <c:pt idx="14">
                  <c:v>7.5624427548895718E-3</c:v>
                </c:pt>
                <c:pt idx="15">
                  <c:v>7.4347727598775334E-3</c:v>
                </c:pt>
                <c:pt idx="16">
                  <c:v>7.3102127180284821E-3</c:v>
                </c:pt>
                <c:pt idx="17">
                  <c:v>7.188762629342418E-3</c:v>
                </c:pt>
                <c:pt idx="18">
                  <c:v>7.070422493819355E-3</c:v>
                </c:pt>
                <c:pt idx="19">
                  <c:v>6.9551923114592792E-3</c:v>
                </c:pt>
                <c:pt idx="20">
                  <c:v>6.8430720822621905E-3</c:v>
                </c:pt>
                <c:pt idx="21">
                  <c:v>6.7340618062281029E-3</c:v>
                </c:pt>
                <c:pt idx="22">
                  <c:v>6.6281614833570025E-3</c:v>
                </c:pt>
                <c:pt idx="23">
                  <c:v>6.5253711136488892E-3</c:v>
                </c:pt>
                <c:pt idx="24">
                  <c:v>6.4256906971037701E-3</c:v>
                </c:pt>
                <c:pt idx="25">
                  <c:v>6.3291202337216381E-3</c:v>
                </c:pt>
                <c:pt idx="26">
                  <c:v>6.2356597235025081E-3</c:v>
                </c:pt>
                <c:pt idx="27">
                  <c:v>6.1453091664463643E-3</c:v>
                </c:pt>
                <c:pt idx="28">
                  <c:v>6.0580685625532069E-3</c:v>
                </c:pt>
                <c:pt idx="29">
                  <c:v>5.9739379118230454E-3</c:v>
                </c:pt>
                <c:pt idx="30">
                  <c:v>5.892917214255877E-3</c:v>
                </c:pt>
                <c:pt idx="31">
                  <c:v>5.8150064698516959E-3</c:v>
                </c:pt>
                <c:pt idx="32">
                  <c:v>5.7402056786105089E-3</c:v>
                </c:pt>
                <c:pt idx="33">
                  <c:v>5.6685148405323091E-3</c:v>
                </c:pt>
                <c:pt idx="34">
                  <c:v>5.5999339556171033E-3</c:v>
                </c:pt>
                <c:pt idx="35">
                  <c:v>5.5344630238648917E-3</c:v>
                </c:pt>
                <c:pt idx="36">
                  <c:v>5.4721020452756673E-3</c:v>
                </c:pt>
                <c:pt idx="37">
                  <c:v>5.412851019849437E-3</c:v>
                </c:pt>
                <c:pt idx="38">
                  <c:v>5.3567099475862016E-3</c:v>
                </c:pt>
                <c:pt idx="39">
                  <c:v>5.3036788284859526E-3</c:v>
                </c:pt>
                <c:pt idx="40">
                  <c:v>5.2537576625486908E-3</c:v>
                </c:pt>
                <c:pt idx="41">
                  <c:v>5.2069464497744231E-3</c:v>
                </c:pt>
                <c:pt idx="42">
                  <c:v>5.1632451901631495E-3</c:v>
                </c:pt>
                <c:pt idx="43">
                  <c:v>5.12265388371487E-3</c:v>
                </c:pt>
                <c:pt idx="44">
                  <c:v>5.0851725304295776E-3</c:v>
                </c:pt>
                <c:pt idx="45">
                  <c:v>5.0508011303072795E-3</c:v>
                </c:pt>
                <c:pt idx="46">
                  <c:v>5.0195396833479684E-3</c:v>
                </c:pt>
                <c:pt idx="47">
                  <c:v>4.9913881895516515E-3</c:v>
                </c:pt>
                <c:pt idx="48">
                  <c:v>4.9663466489183287E-3</c:v>
                </c:pt>
                <c:pt idx="49">
                  <c:v>4.9444150614479931E-3</c:v>
                </c:pt>
                <c:pt idx="50">
                  <c:v>4.9255934271406447E-3</c:v>
                </c:pt>
                <c:pt idx="51">
                  <c:v>4.9098817459962973E-3</c:v>
                </c:pt>
                <c:pt idx="52">
                  <c:v>4.8972800180149371E-3</c:v>
                </c:pt>
                <c:pt idx="53">
                  <c:v>4.8877882431965641E-3</c:v>
                </c:pt>
                <c:pt idx="54">
                  <c:v>4.8814064215411852E-3</c:v>
                </c:pt>
                <c:pt idx="55">
                  <c:v>4.8781345530488083E-3</c:v>
                </c:pt>
                <c:pt idx="56">
                  <c:v>4.8779726377194098E-3</c:v>
                </c:pt>
                <c:pt idx="57">
                  <c:v>4.8809206755530063E-3</c:v>
                </c:pt>
                <c:pt idx="58">
                  <c:v>4.88697866654959E-3</c:v>
                </c:pt>
                <c:pt idx="59">
                  <c:v>4.8961466107091756E-3</c:v>
                </c:pt>
                <c:pt idx="60">
                  <c:v>4.9084245080317406E-3</c:v>
                </c:pt>
                <c:pt idx="61">
                  <c:v>4.9238123585173075E-3</c:v>
                </c:pt>
                <c:pt idx="62">
                  <c:v>4.9423101621658538E-3</c:v>
                </c:pt>
                <c:pt idx="63">
                  <c:v>4.963917918977408E-3</c:v>
                </c:pt>
                <c:pt idx="64">
                  <c:v>4.9886356289519426E-3</c:v>
                </c:pt>
                <c:pt idx="65">
                  <c:v>5.0164632920894634E-3</c:v>
                </c:pt>
                <c:pt idx="66">
                  <c:v>5.0474009083899861E-3</c:v>
                </c:pt>
                <c:pt idx="67">
                  <c:v>5.081448477853496E-3</c:v>
                </c:pt>
                <c:pt idx="68">
                  <c:v>5.118606000480001E-3</c:v>
                </c:pt>
                <c:pt idx="69">
                  <c:v>5.1588734762694922E-3</c:v>
                </c:pt>
                <c:pt idx="70">
                  <c:v>5.2022509052219775E-3</c:v>
                </c:pt>
                <c:pt idx="71">
                  <c:v>5.24873828733745E-3</c:v>
                </c:pt>
                <c:pt idx="72">
                  <c:v>5.2983356226159167E-3</c:v>
                </c:pt>
                <c:pt idx="73">
                  <c:v>5.3510429110573774E-3</c:v>
                </c:pt>
                <c:pt idx="74">
                  <c:v>5.4068601526618184E-3</c:v>
                </c:pt>
                <c:pt idx="75">
                  <c:v>5.4657873474292674E-3</c:v>
                </c:pt>
                <c:pt idx="76">
                  <c:v>5.5278244953596966E-3</c:v>
                </c:pt>
                <c:pt idx="77">
                  <c:v>5.5929715964531199E-3</c:v>
                </c:pt>
                <c:pt idx="78">
                  <c:v>5.6612286507095374E-3</c:v>
                </c:pt>
                <c:pt idx="79">
                  <c:v>5.732595658128949E-3</c:v>
                </c:pt>
                <c:pt idx="80">
                  <c:v>5.8070726187113408E-3</c:v>
                </c:pt>
              </c:numCache>
            </c:numRef>
          </c:val>
          <c:extLst>
            <c:ext xmlns:c16="http://schemas.microsoft.com/office/drawing/2014/chart" uri="{C3380CC4-5D6E-409C-BE32-E72D297353CC}">
              <c16:uniqueId val="{00000047-A84F-4AFF-90AD-1264CB609548}"/>
            </c:ext>
          </c:extLst>
        </c:ser>
        <c:ser>
          <c:idx val="72"/>
          <c:order val="72"/>
          <c:tx>
            <c:strRef>
              <c:f>Interpolation!$S$75</c:f>
              <c:strCache>
                <c:ptCount val="1"/>
                <c:pt idx="0">
                  <c:v>37.2</c:v>
                </c:pt>
              </c:strCache>
            </c:strRef>
          </c:tx>
          <c:spPr>
            <a:solidFill>
              <a:schemeClr val="accent1">
                <a:lumMod val="8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Interpolation!$T$75:$CV$75</c:f>
              <c:numCache>
                <c:formatCode>General</c:formatCode>
                <c:ptCount val="81"/>
                <c:pt idx="0">
                  <c:v>9.6970272661359193E-3</c:v>
                </c:pt>
                <c:pt idx="1">
                  <c:v>9.5257226962592641E-3</c:v>
                </c:pt>
                <c:pt idx="2">
                  <c:v>9.3575280795456031E-3</c:v>
                </c:pt>
                <c:pt idx="3">
                  <c:v>9.1924434159949379E-3</c:v>
                </c:pt>
                <c:pt idx="4">
                  <c:v>9.0304687056072652E-3</c:v>
                </c:pt>
                <c:pt idx="5">
                  <c:v>8.8716039483825726E-3</c:v>
                </c:pt>
                <c:pt idx="6">
                  <c:v>8.7158491443208759E-3</c:v>
                </c:pt>
                <c:pt idx="7">
                  <c:v>8.5632042934221577E-3</c:v>
                </c:pt>
                <c:pt idx="8">
                  <c:v>8.4136693956864475E-3</c:v>
                </c:pt>
                <c:pt idx="9">
                  <c:v>8.2672444511137332E-3</c:v>
                </c:pt>
                <c:pt idx="10">
                  <c:v>8.1239294597039973E-3</c:v>
                </c:pt>
                <c:pt idx="11">
                  <c:v>7.9837244214572556E-3</c:v>
                </c:pt>
                <c:pt idx="12">
                  <c:v>7.8466293363735097E-3</c:v>
                </c:pt>
                <c:pt idx="13">
                  <c:v>7.7126442044527562E-3</c:v>
                </c:pt>
                <c:pt idx="14">
                  <c:v>7.5817690256949838E-3</c:v>
                </c:pt>
                <c:pt idx="15">
                  <c:v>7.4540038001002125E-3</c:v>
                </c:pt>
                <c:pt idx="16">
                  <c:v>7.3293485276684275E-3</c:v>
                </c:pt>
                <c:pt idx="17">
                  <c:v>7.2078032083996305E-3</c:v>
                </c:pt>
                <c:pt idx="18">
                  <c:v>7.0893678422938346E-3</c:v>
                </c:pt>
                <c:pt idx="19">
                  <c:v>6.974042429351025E-3</c:v>
                </c:pt>
                <c:pt idx="20">
                  <c:v>6.8618269695712034E-3</c:v>
                </c:pt>
                <c:pt idx="21">
                  <c:v>6.7527214629543829E-3</c:v>
                </c:pt>
                <c:pt idx="22">
                  <c:v>6.6467259095005487E-3</c:v>
                </c:pt>
                <c:pt idx="23">
                  <c:v>6.5438403092097025E-3</c:v>
                </c:pt>
                <c:pt idx="24">
                  <c:v>6.4440646620818505E-3</c:v>
                </c:pt>
                <c:pt idx="25">
                  <c:v>6.3473989681169856E-3</c:v>
                </c:pt>
                <c:pt idx="26">
                  <c:v>6.253843227315121E-3</c:v>
                </c:pt>
                <c:pt idx="27">
                  <c:v>6.1633974396762443E-3</c:v>
                </c:pt>
                <c:pt idx="28">
                  <c:v>6.076061605200354E-3</c:v>
                </c:pt>
                <c:pt idx="29">
                  <c:v>5.9918357238874587E-3</c:v>
                </c:pt>
                <c:pt idx="30">
                  <c:v>5.9107197957375575E-3</c:v>
                </c:pt>
                <c:pt idx="31">
                  <c:v>5.8327138207506435E-3</c:v>
                </c:pt>
                <c:pt idx="32">
                  <c:v>5.7578177989267235E-3</c:v>
                </c:pt>
                <c:pt idx="33">
                  <c:v>5.6860317302657899E-3</c:v>
                </c:pt>
                <c:pt idx="34">
                  <c:v>5.6173556147678513E-3</c:v>
                </c:pt>
                <c:pt idx="35">
                  <c:v>5.5517894524329068E-3</c:v>
                </c:pt>
                <c:pt idx="36">
                  <c:v>5.4893332432609486E-3</c:v>
                </c:pt>
                <c:pt idx="37">
                  <c:v>5.4299869872519854E-3</c:v>
                </c:pt>
                <c:pt idx="38">
                  <c:v>5.3737506844060163E-3</c:v>
                </c:pt>
                <c:pt idx="39">
                  <c:v>5.3206243347230335E-3</c:v>
                </c:pt>
                <c:pt idx="40">
                  <c:v>5.2706079382030388E-3</c:v>
                </c:pt>
                <c:pt idx="41">
                  <c:v>5.2237014948460381E-3</c:v>
                </c:pt>
                <c:pt idx="42">
                  <c:v>5.1799050046520308E-3</c:v>
                </c:pt>
                <c:pt idx="43">
                  <c:v>5.1392184676210184E-3</c:v>
                </c:pt>
                <c:pt idx="44">
                  <c:v>5.1016418837529932E-3</c:v>
                </c:pt>
                <c:pt idx="45">
                  <c:v>5.0671752530479612E-3</c:v>
                </c:pt>
                <c:pt idx="46">
                  <c:v>5.0358185755059173E-3</c:v>
                </c:pt>
                <c:pt idx="47">
                  <c:v>5.0075718511268675E-3</c:v>
                </c:pt>
                <c:pt idx="48">
                  <c:v>4.9824350799108118E-3</c:v>
                </c:pt>
                <c:pt idx="49">
                  <c:v>4.9604082618577433E-3</c:v>
                </c:pt>
                <c:pt idx="50">
                  <c:v>4.9414913969676611E-3</c:v>
                </c:pt>
                <c:pt idx="51">
                  <c:v>4.9256844852405808E-3</c:v>
                </c:pt>
                <c:pt idx="52">
                  <c:v>4.9129875266764877E-3</c:v>
                </c:pt>
                <c:pt idx="53">
                  <c:v>4.903400521275381E-3</c:v>
                </c:pt>
                <c:pt idx="54">
                  <c:v>4.8969234690372683E-3</c:v>
                </c:pt>
                <c:pt idx="55">
                  <c:v>4.8935563699621584E-3</c:v>
                </c:pt>
                <c:pt idx="56">
                  <c:v>4.8932992240500271E-3</c:v>
                </c:pt>
                <c:pt idx="57">
                  <c:v>4.8961520313008898E-3</c:v>
                </c:pt>
                <c:pt idx="58">
                  <c:v>4.9021147917147415E-3</c:v>
                </c:pt>
                <c:pt idx="59">
                  <c:v>4.9111875052915924E-3</c:v>
                </c:pt>
                <c:pt idx="60">
                  <c:v>4.9233701720314254E-3</c:v>
                </c:pt>
                <c:pt idx="61">
                  <c:v>4.9386627919342577E-3</c:v>
                </c:pt>
                <c:pt idx="62">
                  <c:v>4.9570653650000702E-3</c:v>
                </c:pt>
                <c:pt idx="63">
                  <c:v>4.9785778912288924E-3</c:v>
                </c:pt>
                <c:pt idx="64">
                  <c:v>5.0032003706206932E-3</c:v>
                </c:pt>
                <c:pt idx="65">
                  <c:v>5.0309328031754811E-3</c:v>
                </c:pt>
                <c:pt idx="66">
                  <c:v>5.0617751888932709E-3</c:v>
                </c:pt>
                <c:pt idx="67">
                  <c:v>5.095727527774048E-3</c:v>
                </c:pt>
                <c:pt idx="68">
                  <c:v>5.1327898198178182E-3</c:v>
                </c:pt>
                <c:pt idx="69">
                  <c:v>5.1729620650245766E-3</c:v>
                </c:pt>
                <c:pt idx="70">
                  <c:v>5.216244263394329E-3</c:v>
                </c:pt>
                <c:pt idx="71">
                  <c:v>5.2626364149270678E-3</c:v>
                </c:pt>
                <c:pt idx="72">
                  <c:v>5.3121385196228024E-3</c:v>
                </c:pt>
                <c:pt idx="73">
                  <c:v>5.3647505774815293E-3</c:v>
                </c:pt>
                <c:pt idx="74">
                  <c:v>5.4204725885032383E-3</c:v>
                </c:pt>
                <c:pt idx="75">
                  <c:v>5.4793045526879535E-3</c:v>
                </c:pt>
                <c:pt idx="76">
                  <c:v>5.541246470035649E-3</c:v>
                </c:pt>
                <c:pt idx="77">
                  <c:v>5.6062983405463394E-3</c:v>
                </c:pt>
                <c:pt idx="78">
                  <c:v>5.674460164220024E-3</c:v>
                </c:pt>
                <c:pt idx="79">
                  <c:v>5.7457319410567018E-3</c:v>
                </c:pt>
                <c:pt idx="80">
                  <c:v>5.8201136710563607E-3</c:v>
                </c:pt>
              </c:numCache>
            </c:numRef>
          </c:val>
          <c:extLst>
            <c:ext xmlns:c16="http://schemas.microsoft.com/office/drawing/2014/chart" uri="{C3380CC4-5D6E-409C-BE32-E72D297353CC}">
              <c16:uniqueId val="{00000048-A84F-4AFF-90AD-1264CB609548}"/>
            </c:ext>
          </c:extLst>
        </c:ser>
        <c:ser>
          <c:idx val="73"/>
          <c:order val="73"/>
          <c:tx>
            <c:strRef>
              <c:f>Interpolation!$S$76</c:f>
              <c:strCache>
                <c:ptCount val="1"/>
                <c:pt idx="0">
                  <c:v>37.3</c:v>
                </c:pt>
              </c:strCache>
            </c:strRef>
          </c:tx>
          <c:spPr>
            <a:solidFill>
              <a:schemeClr val="accent2">
                <a:lumMod val="8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Interpolation!$T$76:$CV$76</c:f>
              <c:numCache>
                <c:formatCode>General</c:formatCode>
                <c:ptCount val="81"/>
                <c:pt idx="0">
                  <c:v>9.7185872188263727E-3</c:v>
                </c:pt>
                <c:pt idx="1">
                  <c:v>9.5471874183669838E-3</c:v>
                </c:pt>
                <c:pt idx="2">
                  <c:v>9.3788975710705907E-3</c:v>
                </c:pt>
                <c:pt idx="3">
                  <c:v>9.2137176769371918E-3</c:v>
                </c:pt>
                <c:pt idx="4">
                  <c:v>9.0516477359667852E-3</c:v>
                </c:pt>
                <c:pt idx="5">
                  <c:v>8.8926877481593607E-3</c:v>
                </c:pt>
                <c:pt idx="6">
                  <c:v>8.7368377135149302E-3</c:v>
                </c:pt>
                <c:pt idx="7">
                  <c:v>8.5840976320334782E-3</c:v>
                </c:pt>
                <c:pt idx="8">
                  <c:v>8.434467503715036E-3</c:v>
                </c:pt>
                <c:pt idx="9">
                  <c:v>8.2879473285595879E-3</c:v>
                </c:pt>
                <c:pt idx="10">
                  <c:v>8.1445371065671183E-3</c:v>
                </c:pt>
                <c:pt idx="11">
                  <c:v>8.0042368377376445E-3</c:v>
                </c:pt>
                <c:pt idx="12">
                  <c:v>7.8670465220711649E-3</c:v>
                </c:pt>
                <c:pt idx="13">
                  <c:v>7.7329661595676785E-3</c:v>
                </c:pt>
                <c:pt idx="14">
                  <c:v>7.6019957502271723E-3</c:v>
                </c:pt>
                <c:pt idx="15">
                  <c:v>7.4741352940496681E-3</c:v>
                </c:pt>
                <c:pt idx="16">
                  <c:v>7.3493847910351502E-3</c:v>
                </c:pt>
                <c:pt idx="17">
                  <c:v>7.2277442411836194E-3</c:v>
                </c:pt>
                <c:pt idx="18">
                  <c:v>7.1092136444950898E-3</c:v>
                </c:pt>
                <c:pt idx="19">
                  <c:v>6.9937930009695481E-3</c:v>
                </c:pt>
                <c:pt idx="20">
                  <c:v>6.8814823106069928E-3</c:v>
                </c:pt>
                <c:pt idx="21">
                  <c:v>6.7722815734074394E-3</c:v>
                </c:pt>
                <c:pt idx="22">
                  <c:v>6.6661907893708723E-3</c:v>
                </c:pt>
                <c:pt idx="23">
                  <c:v>6.5632099584972924E-3</c:v>
                </c:pt>
                <c:pt idx="24">
                  <c:v>6.4633390807867066E-3</c:v>
                </c:pt>
                <c:pt idx="25">
                  <c:v>6.3665781562391088E-3</c:v>
                </c:pt>
                <c:pt idx="26">
                  <c:v>6.2729271848545112E-3</c:v>
                </c:pt>
                <c:pt idx="27">
                  <c:v>6.1823861666329017E-3</c:v>
                </c:pt>
                <c:pt idx="28">
                  <c:v>6.0949551015742785E-3</c:v>
                </c:pt>
                <c:pt idx="29">
                  <c:v>6.0106339896786494E-3</c:v>
                </c:pt>
                <c:pt idx="30">
                  <c:v>5.9294228309460153E-3</c:v>
                </c:pt>
                <c:pt idx="31">
                  <c:v>5.8513216253763675E-3</c:v>
                </c:pt>
                <c:pt idx="32">
                  <c:v>5.7763303729697138E-3</c:v>
                </c:pt>
                <c:pt idx="33">
                  <c:v>5.7044490737260482E-3</c:v>
                </c:pt>
                <c:pt idx="34">
                  <c:v>5.6356777276453758E-3</c:v>
                </c:pt>
                <c:pt idx="35">
                  <c:v>5.5700163347276975E-3</c:v>
                </c:pt>
                <c:pt idx="36">
                  <c:v>5.5074648949730073E-3</c:v>
                </c:pt>
                <c:pt idx="37">
                  <c:v>5.4480234083813103E-3</c:v>
                </c:pt>
                <c:pt idx="38">
                  <c:v>5.3916918749526074E-3</c:v>
                </c:pt>
                <c:pt idx="39">
                  <c:v>5.3384702946868926E-3</c:v>
                </c:pt>
                <c:pt idx="40">
                  <c:v>5.2883586675841641E-3</c:v>
                </c:pt>
                <c:pt idx="41">
                  <c:v>5.2413569936444297E-3</c:v>
                </c:pt>
                <c:pt idx="42">
                  <c:v>5.1974652728676903E-3</c:v>
                </c:pt>
                <c:pt idx="43">
                  <c:v>5.1566835052539442E-3</c:v>
                </c:pt>
                <c:pt idx="44">
                  <c:v>5.1190116908031852E-3</c:v>
                </c:pt>
                <c:pt idx="45">
                  <c:v>5.0844498295154212E-3</c:v>
                </c:pt>
                <c:pt idx="46">
                  <c:v>5.0529979213906426E-3</c:v>
                </c:pt>
                <c:pt idx="47">
                  <c:v>5.0246559664288599E-3</c:v>
                </c:pt>
                <c:pt idx="48">
                  <c:v>4.9994239646300714E-3</c:v>
                </c:pt>
                <c:pt idx="49">
                  <c:v>4.9773019159942691E-3</c:v>
                </c:pt>
                <c:pt idx="50">
                  <c:v>4.958289820521454E-3</c:v>
                </c:pt>
                <c:pt idx="51">
                  <c:v>4.9423876782116408E-3</c:v>
                </c:pt>
                <c:pt idx="52">
                  <c:v>4.929595489064814E-3</c:v>
                </c:pt>
                <c:pt idx="53">
                  <c:v>4.9199132530809743E-3</c:v>
                </c:pt>
                <c:pt idx="54">
                  <c:v>4.9133409702601296E-3</c:v>
                </c:pt>
                <c:pt idx="55">
                  <c:v>4.9098786406022851E-3</c:v>
                </c:pt>
                <c:pt idx="56">
                  <c:v>4.9095262641074208E-3</c:v>
                </c:pt>
                <c:pt idx="57">
                  <c:v>4.9122838407755515E-3</c:v>
                </c:pt>
                <c:pt idx="58">
                  <c:v>4.9181513706066677E-3</c:v>
                </c:pt>
                <c:pt idx="59">
                  <c:v>4.9271288536007866E-3</c:v>
                </c:pt>
                <c:pt idx="60">
                  <c:v>4.9392162897578858E-3</c:v>
                </c:pt>
                <c:pt idx="61">
                  <c:v>4.9544136790779861E-3</c:v>
                </c:pt>
                <c:pt idx="62">
                  <c:v>4.9727210215610648E-3</c:v>
                </c:pt>
                <c:pt idx="63">
                  <c:v>4.9941383172071533E-3</c:v>
                </c:pt>
                <c:pt idx="64">
                  <c:v>5.018665566016222E-3</c:v>
                </c:pt>
                <c:pt idx="65">
                  <c:v>5.0463027679882762E-3</c:v>
                </c:pt>
                <c:pt idx="66">
                  <c:v>5.0770499231233331E-3</c:v>
                </c:pt>
                <c:pt idx="67">
                  <c:v>5.1109070314213764E-3</c:v>
                </c:pt>
                <c:pt idx="68">
                  <c:v>5.1478740928824138E-3</c:v>
                </c:pt>
                <c:pt idx="69">
                  <c:v>5.1879511075064392E-3</c:v>
                </c:pt>
                <c:pt idx="70">
                  <c:v>5.2311380752934579E-3</c:v>
                </c:pt>
                <c:pt idx="71">
                  <c:v>5.2774349962434637E-3</c:v>
                </c:pt>
                <c:pt idx="72">
                  <c:v>5.3268418703564645E-3</c:v>
                </c:pt>
                <c:pt idx="73">
                  <c:v>5.3793586976324595E-3</c:v>
                </c:pt>
                <c:pt idx="74">
                  <c:v>5.4349854780714338E-3</c:v>
                </c:pt>
                <c:pt idx="75">
                  <c:v>5.4937222116734161E-3</c:v>
                </c:pt>
                <c:pt idx="76">
                  <c:v>5.5555688984383787E-3</c:v>
                </c:pt>
                <c:pt idx="77">
                  <c:v>5.6205255383663354E-3</c:v>
                </c:pt>
                <c:pt idx="78">
                  <c:v>5.688592131457287E-3</c:v>
                </c:pt>
                <c:pt idx="79">
                  <c:v>5.7597686777112319E-3</c:v>
                </c:pt>
                <c:pt idx="80">
                  <c:v>5.8340551771281571E-3</c:v>
                </c:pt>
              </c:numCache>
            </c:numRef>
          </c:val>
          <c:extLst>
            <c:ext xmlns:c16="http://schemas.microsoft.com/office/drawing/2014/chart" uri="{C3380CC4-5D6E-409C-BE32-E72D297353CC}">
              <c16:uniqueId val="{00000049-A84F-4AFF-90AD-1264CB609548}"/>
            </c:ext>
          </c:extLst>
        </c:ser>
        <c:ser>
          <c:idx val="74"/>
          <c:order val="74"/>
          <c:tx>
            <c:strRef>
              <c:f>Interpolation!$S$77</c:f>
              <c:strCache>
                <c:ptCount val="1"/>
                <c:pt idx="0">
                  <c:v>37.4</c:v>
                </c:pt>
              </c:strCache>
            </c:strRef>
          </c:tx>
          <c:spPr>
            <a:solidFill>
              <a:schemeClr val="accent3">
                <a:lumMod val="80000"/>
              </a:schemeClr>
            </a:solidFill>
            <a:ln/>
            <a:effectLst/>
            <a:sp3d/>
          </c:spPr>
          <c:cat>
            <c:numRef>
              <c:f>Interpolation!$T$2:$CV$2</c:f>
              <c:numCache>
                <c:formatCode>General</c:formatCode>
                <c:ptCount val="81"/>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pt idx="26">
                  <c:v>0.36</c:v>
                </c:pt>
                <c:pt idx="27">
                  <c:v>0.37</c:v>
                </c:pt>
                <c:pt idx="28">
                  <c:v>0.38</c:v>
                </c:pt>
                <c:pt idx="29">
                  <c:v>0.39</c:v>
                </c:pt>
                <c:pt idx="30">
                  <c:v>0.4</c:v>
                </c:pt>
                <c:pt idx="31">
                  <c:v>0.41</c:v>
                </c:pt>
                <c:pt idx="32">
                  <c:v>0.42</c:v>
                </c:pt>
                <c:pt idx="33">
                  <c:v>0.43</c:v>
                </c:pt>
                <c:pt idx="34">
                  <c:v>0.44</c:v>
                </c:pt>
                <c:pt idx="35">
                  <c:v>0.45</c:v>
                </c:pt>
                <c:pt idx="36">
                  <c:v>0.46</c:v>
                </c:pt>
                <c:pt idx="37">
                  <c:v>0.47</c:v>
                </c:pt>
                <c:pt idx="38">
                  <c:v>0.48</c:v>
                </c:pt>
                <c:pt idx="39">
                  <c:v>0.49</c:v>
                </c:pt>
                <c:pt idx="40">
                  <c:v>0.5</c:v>
                </c:pt>
                <c:pt idx="41">
                  <c:v>0.51</c:v>
                </c:pt>
                <c:pt idx="42">
                  <c:v>0.52</c:v>
                </c:pt>
                <c:pt idx="43">
                  <c:v>0.53</c:v>
                </c:pt>
                <c:pt idx="44">
                  <c:v>0.54</c:v>
                </c:pt>
                <c:pt idx="45">
                  <c:v>0.55000000000000004</c:v>
                </c:pt>
                <c:pt idx="46">
                  <c:v>0.56000000000000005</c:v>
                </c:pt>
                <c:pt idx="47">
                  <c:v>0.56999999999999995</c:v>
                </c:pt>
                <c:pt idx="48">
                  <c:v>0.57999999999999996</c:v>
                </c:pt>
                <c:pt idx="49">
                  <c:v>0.59</c:v>
                </c:pt>
                <c:pt idx="50">
                  <c:v>0.6</c:v>
                </c:pt>
                <c:pt idx="51">
                  <c:v>0.61</c:v>
                </c:pt>
                <c:pt idx="52">
                  <c:v>0.62</c:v>
                </c:pt>
                <c:pt idx="53">
                  <c:v>0.63</c:v>
                </c:pt>
                <c:pt idx="54">
                  <c:v>0.64</c:v>
                </c:pt>
                <c:pt idx="55">
                  <c:v>0.65</c:v>
                </c:pt>
                <c:pt idx="56">
                  <c:v>0.66</c:v>
                </c:pt>
                <c:pt idx="57">
                  <c:v>0.67</c:v>
                </c:pt>
                <c:pt idx="58">
                  <c:v>0.68</c:v>
                </c:pt>
                <c:pt idx="59">
                  <c:v>0.69</c:v>
                </c:pt>
                <c:pt idx="60">
                  <c:v>0.7</c:v>
                </c:pt>
                <c:pt idx="61">
                  <c:v>0.71</c:v>
                </c:pt>
                <c:pt idx="62">
                  <c:v>0.72</c:v>
                </c:pt>
                <c:pt idx="63">
                  <c:v>0.73</c:v>
                </c:pt>
                <c:pt idx="64">
                  <c:v>0.74</c:v>
                </c:pt>
                <c:pt idx="65">
                  <c:v>0.75</c:v>
                </c:pt>
                <c:pt idx="66">
                  <c:v>0.76</c:v>
                </c:pt>
                <c:pt idx="67">
                  <c:v>0.77</c:v>
                </c:pt>
                <c:pt idx="68">
                  <c:v>0.78</c:v>
                </c:pt>
                <c:pt idx="69">
                  <c:v>0.79</c:v>
                </c:pt>
                <c:pt idx="70">
                  <c:v>0.8</c:v>
                </c:pt>
                <c:pt idx="71">
                  <c:v>0.81</c:v>
                </c:pt>
                <c:pt idx="72">
                  <c:v>0.82</c:v>
                </c:pt>
                <c:pt idx="73">
                  <c:v>0.83</c:v>
                </c:pt>
                <c:pt idx="74">
                  <c:v>0.84</c:v>
                </c:pt>
                <c:pt idx="75">
                  <c:v>0.85</c:v>
                </c:pt>
                <c:pt idx="76">
                  <c:v>0.86</c:v>
                </c:pt>
                <c:pt idx="77">
                  <c:v>0.87</c:v>
                </c:pt>
                <c:pt idx="78">
                  <c:v>0.88</c:v>
                </c:pt>
                <c:pt idx="79">
                  <c:v>0.89</c:v>
                </c:pt>
                <c:pt idx="80">
                  <c:v>0.9</c:v>
                </c:pt>
              </c:numCache>
            </c:numRef>
          </c:cat>
          <c:val>
            <c:numRef>
              <c:f>Interpolation!$T$77:$CV$77</c:f>
              <c:numCache>
                <c:formatCode>General</c:formatCode>
                <c:ptCount val="81"/>
                <c:pt idx="0">
                  <c:v>9.7410476252436651E-3</c:v>
                </c:pt>
                <c:pt idx="1">
                  <c:v>9.5695525942015441E-3</c:v>
                </c:pt>
                <c:pt idx="2">
                  <c:v>9.4011675163224173E-3</c:v>
                </c:pt>
                <c:pt idx="3">
                  <c:v>9.2358923916062846E-3</c:v>
                </c:pt>
                <c:pt idx="4">
                  <c:v>9.073727220053146E-3</c:v>
                </c:pt>
                <c:pt idx="5">
                  <c:v>8.9146720016629877E-3</c:v>
                </c:pt>
                <c:pt idx="6">
                  <c:v>8.7587267364358234E-3</c:v>
                </c:pt>
                <c:pt idx="7">
                  <c:v>8.6058914243716395E-3</c:v>
                </c:pt>
                <c:pt idx="8">
                  <c:v>8.4561660654704635E-3</c:v>
                </c:pt>
                <c:pt idx="9">
                  <c:v>8.3095506597322816E-3</c:v>
                </c:pt>
                <c:pt idx="10">
                  <c:v>8.1660452071570799E-3</c:v>
                </c:pt>
                <c:pt idx="11">
                  <c:v>8.0256497077448724E-3</c:v>
                </c:pt>
                <c:pt idx="12">
                  <c:v>7.888364161495659E-3</c:v>
                </c:pt>
                <c:pt idx="13">
                  <c:v>7.7541885684094388E-3</c:v>
                </c:pt>
                <c:pt idx="14">
                  <c:v>7.6231229284861998E-3</c:v>
                </c:pt>
                <c:pt idx="15">
                  <c:v>7.4951672417259618E-3</c:v>
                </c:pt>
                <c:pt idx="16">
                  <c:v>7.370321508128711E-3</c:v>
                </c:pt>
                <c:pt idx="17">
                  <c:v>7.2485857276944473E-3</c:v>
                </c:pt>
                <c:pt idx="18">
                  <c:v>7.1299599004231847E-3</c:v>
                </c:pt>
                <c:pt idx="19">
                  <c:v>7.0144440263149093E-3</c:v>
                </c:pt>
                <c:pt idx="20">
                  <c:v>6.9020381053696211E-3</c:v>
                </c:pt>
                <c:pt idx="21">
                  <c:v>6.7927421375873339E-3</c:v>
                </c:pt>
                <c:pt idx="22">
                  <c:v>6.6865561229680339E-3</c:v>
                </c:pt>
                <c:pt idx="23">
                  <c:v>6.5834800615117211E-3</c:v>
                </c:pt>
                <c:pt idx="24">
                  <c:v>6.4835139532184024E-3</c:v>
                </c:pt>
                <c:pt idx="25">
                  <c:v>6.3866577980880709E-3</c:v>
                </c:pt>
                <c:pt idx="26">
                  <c:v>6.2929115961207404E-3</c:v>
                </c:pt>
                <c:pt idx="27">
                  <c:v>6.2022753473163971E-3</c:v>
                </c:pt>
                <c:pt idx="28">
                  <c:v>6.114749051675041E-3</c:v>
                </c:pt>
                <c:pt idx="29">
                  <c:v>6.030332709196679E-3</c:v>
                </c:pt>
                <c:pt idx="30">
                  <c:v>5.9490263198813103E-3</c:v>
                </c:pt>
                <c:pt idx="31">
                  <c:v>5.8708298837289305E-3</c:v>
                </c:pt>
                <c:pt idx="32">
                  <c:v>5.7957434007395439E-3</c:v>
                </c:pt>
                <c:pt idx="33">
                  <c:v>5.7237668709131436E-3</c:v>
                </c:pt>
                <c:pt idx="34">
                  <c:v>5.6549002942497383E-3</c:v>
                </c:pt>
                <c:pt idx="35">
                  <c:v>5.5891436707493272E-3</c:v>
                </c:pt>
                <c:pt idx="36">
                  <c:v>5.5264970004119032E-3</c:v>
                </c:pt>
                <c:pt idx="37">
                  <c:v>5.4669602832374733E-3</c:v>
                </c:pt>
                <c:pt idx="38">
                  <c:v>5.4105335192260375E-3</c:v>
                </c:pt>
                <c:pt idx="39">
                  <c:v>5.3572167083775889E-3</c:v>
                </c:pt>
                <c:pt idx="40">
                  <c:v>5.3070098506921275E-3</c:v>
                </c:pt>
                <c:pt idx="41">
                  <c:v>5.2599129461696602E-3</c:v>
                </c:pt>
                <c:pt idx="42">
                  <c:v>5.2159259948101871E-3</c:v>
                </c:pt>
                <c:pt idx="43">
                  <c:v>5.175048996613708E-3</c:v>
                </c:pt>
                <c:pt idx="44">
                  <c:v>5.1372819515802162E-3</c:v>
                </c:pt>
                <c:pt idx="45">
                  <c:v>5.1026248597097184E-3</c:v>
                </c:pt>
                <c:pt idx="46">
                  <c:v>5.0710777210022078E-3</c:v>
                </c:pt>
                <c:pt idx="47">
                  <c:v>5.0426405354576914E-3</c:v>
                </c:pt>
                <c:pt idx="48">
                  <c:v>5.017313303076169E-3</c:v>
                </c:pt>
                <c:pt idx="49">
                  <c:v>4.9950960238576338E-3</c:v>
                </c:pt>
                <c:pt idx="50">
                  <c:v>4.9759886978020858E-3</c:v>
                </c:pt>
                <c:pt idx="51">
                  <c:v>4.9599913249095389E-3</c:v>
                </c:pt>
                <c:pt idx="52">
                  <c:v>4.9471039051799792E-3</c:v>
                </c:pt>
                <c:pt idx="53">
                  <c:v>4.9373264386134066E-3</c:v>
                </c:pt>
                <c:pt idx="54">
                  <c:v>4.9306589252098281E-3</c:v>
                </c:pt>
                <c:pt idx="55">
                  <c:v>4.9271013649692507E-3</c:v>
                </c:pt>
                <c:pt idx="56">
                  <c:v>4.9266537578916535E-3</c:v>
                </c:pt>
                <c:pt idx="57">
                  <c:v>4.9293161039770505E-3</c:v>
                </c:pt>
                <c:pt idx="58">
                  <c:v>4.9350884032254346E-3</c:v>
                </c:pt>
                <c:pt idx="59">
                  <c:v>4.9439706556368198E-3</c:v>
                </c:pt>
                <c:pt idx="60">
                  <c:v>4.9559628612111852E-3</c:v>
                </c:pt>
                <c:pt idx="61">
                  <c:v>4.9710650199485517E-3</c:v>
                </c:pt>
                <c:pt idx="62">
                  <c:v>4.9892771318488984E-3</c:v>
                </c:pt>
                <c:pt idx="63">
                  <c:v>5.0105991969122531E-3</c:v>
                </c:pt>
                <c:pt idx="64">
                  <c:v>5.0350312151385881E-3</c:v>
                </c:pt>
                <c:pt idx="65">
                  <c:v>5.0625731865279102E-3</c:v>
                </c:pt>
                <c:pt idx="66">
                  <c:v>5.0932251110802334E-3</c:v>
                </c:pt>
                <c:pt idx="67">
                  <c:v>5.1269869887955438E-3</c:v>
                </c:pt>
                <c:pt idx="68">
                  <c:v>5.1638588196738482E-3</c:v>
                </c:pt>
                <c:pt idx="69">
                  <c:v>5.203840603715139E-3</c:v>
                </c:pt>
                <c:pt idx="70">
                  <c:v>5.2469323409194248E-3</c:v>
                </c:pt>
                <c:pt idx="71">
                  <c:v>5.2931340312866977E-3</c:v>
                </c:pt>
                <c:pt idx="72">
                  <c:v>5.3424456748169657E-3</c:v>
                </c:pt>
                <c:pt idx="73">
                  <c:v>5.3948672715102269E-3</c:v>
                </c:pt>
                <c:pt idx="74">
                  <c:v>5.4503988213664683E-3</c:v>
                </c:pt>
                <c:pt idx="75">
                  <c:v>5.5090403243857168E-3</c:v>
                </c:pt>
                <c:pt idx="76">
                  <c:v>5.5707917805679465E-3</c:v>
                </c:pt>
                <c:pt idx="77">
                  <c:v>5.6356531899131703E-3</c:v>
                </c:pt>
                <c:pt idx="78">
                  <c:v>5.7036245524213882E-3</c:v>
                </c:pt>
                <c:pt idx="79">
                  <c:v>5.7747058680926002E-3</c:v>
                </c:pt>
                <c:pt idx="80">
                  <c:v>5.8488971369267924E-3</c:v>
                </c:pt>
              </c:numCache>
            </c:numRef>
          </c:val>
          <c:extLst>
            <c:ext xmlns:c16="http://schemas.microsoft.com/office/drawing/2014/chart" uri="{C3380CC4-5D6E-409C-BE32-E72D297353CC}">
              <c16:uniqueId val="{0000004A-A84F-4AFF-90AD-1264CB609548}"/>
            </c:ext>
          </c:extLst>
        </c:ser>
        <c:bandFmts>
          <c:bandFmt>
            <c:idx val="0"/>
            <c:spPr>
              <a:solidFill>
                <a:schemeClr val="accent1"/>
              </a:solidFill>
              <a:ln/>
              <a:effectLst/>
              <a:sp3d/>
            </c:spPr>
          </c:bandFmt>
          <c:bandFmt>
            <c:idx val="1"/>
            <c:spPr>
              <a:solidFill>
                <a:schemeClr val="accent2"/>
              </a:solidFill>
              <a:ln/>
              <a:effectLst/>
              <a:sp3d/>
            </c:spPr>
          </c:bandFmt>
          <c:bandFmt>
            <c:idx val="2"/>
            <c:spPr>
              <a:solidFill>
                <a:schemeClr val="accent3"/>
              </a:solidFill>
              <a:ln/>
              <a:effectLst/>
              <a:sp3d/>
            </c:spPr>
          </c:bandFmt>
          <c:bandFmt>
            <c:idx val="3"/>
            <c:spPr>
              <a:solidFill>
                <a:schemeClr val="accent4"/>
              </a:solidFill>
              <a:ln/>
              <a:effectLst/>
              <a:sp3d/>
            </c:spPr>
          </c:bandFmt>
          <c:bandFmt>
            <c:idx val="4"/>
            <c:spPr>
              <a:solidFill>
                <a:schemeClr val="accent5"/>
              </a:solidFill>
              <a:ln/>
              <a:effectLst/>
              <a:sp3d/>
            </c:spPr>
          </c:bandFmt>
          <c:bandFmt>
            <c:idx val="5"/>
            <c:spPr>
              <a:solidFill>
                <a:schemeClr val="accent6"/>
              </a:solidFill>
              <a:ln/>
              <a:effectLst/>
              <a:sp3d/>
            </c:spPr>
          </c:bandFmt>
          <c:bandFmt>
            <c:idx val="6"/>
            <c:spPr>
              <a:solidFill>
                <a:schemeClr val="accent1">
                  <a:lumMod val="60000"/>
                </a:schemeClr>
              </a:solidFill>
              <a:ln/>
              <a:effectLst/>
              <a:sp3d/>
            </c:spPr>
          </c:bandFmt>
          <c:bandFmt>
            <c:idx val="7"/>
            <c:spPr>
              <a:solidFill>
                <a:schemeClr val="accent2">
                  <a:lumMod val="60000"/>
                </a:schemeClr>
              </a:solidFill>
              <a:ln/>
              <a:effectLst/>
              <a:sp3d/>
            </c:spPr>
          </c:bandFmt>
          <c:bandFmt>
            <c:idx val="8"/>
            <c:spPr>
              <a:solidFill>
                <a:schemeClr val="accent3">
                  <a:lumMod val="60000"/>
                </a:schemeClr>
              </a:solidFill>
              <a:ln/>
              <a:effectLst/>
              <a:sp3d/>
            </c:spPr>
          </c:bandFmt>
          <c:bandFmt>
            <c:idx val="9"/>
            <c:spPr>
              <a:solidFill>
                <a:schemeClr val="accent4">
                  <a:lumMod val="60000"/>
                </a:schemeClr>
              </a:solidFill>
              <a:ln/>
              <a:effectLst/>
              <a:sp3d/>
            </c:spPr>
          </c:bandFmt>
          <c:bandFmt>
            <c:idx val="10"/>
            <c:spPr>
              <a:solidFill>
                <a:schemeClr val="accent5">
                  <a:lumMod val="60000"/>
                </a:schemeClr>
              </a:solidFill>
              <a:ln/>
              <a:effectLst/>
              <a:sp3d/>
            </c:spPr>
          </c:bandFmt>
          <c:bandFmt>
            <c:idx val="11"/>
            <c:spPr>
              <a:solidFill>
                <a:schemeClr val="accent6">
                  <a:lumMod val="60000"/>
                </a:schemeClr>
              </a:solidFill>
              <a:ln/>
              <a:effectLst/>
              <a:sp3d/>
            </c:spPr>
          </c:bandFmt>
          <c:bandFmt>
            <c:idx val="12"/>
            <c:spPr>
              <a:solidFill>
                <a:schemeClr val="accent1">
                  <a:lumMod val="80000"/>
                  <a:lumOff val="20000"/>
                </a:schemeClr>
              </a:solidFill>
              <a:ln/>
              <a:effectLst/>
              <a:sp3d/>
            </c:spPr>
          </c:bandFmt>
          <c:bandFmt>
            <c:idx val="13"/>
            <c:spPr>
              <a:solidFill>
                <a:schemeClr val="accent2">
                  <a:lumMod val="80000"/>
                  <a:lumOff val="20000"/>
                </a:schemeClr>
              </a:solidFill>
              <a:ln/>
              <a:effectLst/>
              <a:sp3d/>
            </c:spPr>
          </c:bandFmt>
          <c:bandFmt>
            <c:idx val="14"/>
            <c:spPr>
              <a:solidFill>
                <a:schemeClr val="accent3">
                  <a:lumMod val="80000"/>
                  <a:lumOff val="20000"/>
                </a:schemeClr>
              </a:solidFill>
              <a:ln/>
              <a:effectLst/>
              <a:sp3d/>
            </c:spPr>
          </c:bandFmt>
        </c:bandFmts>
        <c:axId val="2031218607"/>
        <c:axId val="2031212367"/>
        <c:axId val="1876642959"/>
      </c:surface3DChart>
      <c:catAx>
        <c:axId val="20312186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212367"/>
        <c:crosses val="autoZero"/>
        <c:auto val="1"/>
        <c:lblAlgn val="ctr"/>
        <c:lblOffset val="100"/>
        <c:noMultiLvlLbl val="0"/>
      </c:catAx>
      <c:valAx>
        <c:axId val="2031212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218607"/>
        <c:crosses val="autoZero"/>
        <c:crossBetween val="midCat"/>
      </c:valAx>
      <c:serAx>
        <c:axId val="1876642959"/>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212367"/>
        <c:crosses val="autoZero"/>
      </c:serAx>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276225</xdr:colOff>
      <xdr:row>12</xdr:row>
      <xdr:rowOff>71437</xdr:rowOff>
    </xdr:from>
    <xdr:to>
      <xdr:col>13</xdr:col>
      <xdr:colOff>428625</xdr:colOff>
      <xdr:row>35</xdr:row>
      <xdr:rowOff>104775</xdr:rowOff>
    </xdr:to>
    <xdr:graphicFrame macro="">
      <xdr:nvGraphicFramePr>
        <xdr:cNvPr id="2" name="Chart 1">
          <a:extLst>
            <a:ext uri="{FF2B5EF4-FFF2-40B4-BE49-F238E27FC236}">
              <a16:creationId xmlns:a16="http://schemas.microsoft.com/office/drawing/2014/main" id="{54692D61-9417-A6DA-1F2E-BF199CA6CF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481856</xdr:colOff>
      <xdr:row>11</xdr:row>
      <xdr:rowOff>112057</xdr:rowOff>
    </xdr:from>
    <xdr:to>
      <xdr:col>27</xdr:col>
      <xdr:colOff>549089</xdr:colOff>
      <xdr:row>35</xdr:row>
      <xdr:rowOff>89646</xdr:rowOff>
    </xdr:to>
    <xdr:graphicFrame macro="">
      <xdr:nvGraphicFramePr>
        <xdr:cNvPr id="4" name="Chart 3">
          <a:extLst>
            <a:ext uri="{FF2B5EF4-FFF2-40B4-BE49-F238E27FC236}">
              <a16:creationId xmlns:a16="http://schemas.microsoft.com/office/drawing/2014/main" id="{E4B7DC02-974E-4696-B1A1-0D407ECB87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14</xdr:col>
      <xdr:colOff>466725</xdr:colOff>
      <xdr:row>7</xdr:row>
      <xdr:rowOff>319086</xdr:rowOff>
    </xdr:from>
    <xdr:to>
      <xdr:col>22</xdr:col>
      <xdr:colOff>447675</xdr:colOff>
      <xdr:row>22</xdr:row>
      <xdr:rowOff>95249</xdr:rowOff>
    </xdr:to>
    <xdr:graphicFrame macro="">
      <xdr:nvGraphicFramePr>
        <xdr:cNvPr id="2" name="Chart 1">
          <a:extLst>
            <a:ext uri="{FF2B5EF4-FFF2-40B4-BE49-F238E27FC236}">
              <a16:creationId xmlns:a16="http://schemas.microsoft.com/office/drawing/2014/main" id="{04B0CDC2-6410-2B27-935F-C67B62A30A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0</xdr:colOff>
      <xdr:row>24</xdr:row>
      <xdr:rowOff>0</xdr:rowOff>
    </xdr:from>
    <xdr:to>
      <xdr:col>15</xdr:col>
      <xdr:colOff>506067</xdr:colOff>
      <xdr:row>26</xdr:row>
      <xdr:rowOff>38158</xdr:rowOff>
    </xdr:to>
    <xdr:pic>
      <xdr:nvPicPr>
        <xdr:cNvPr id="4" name="Picture 3">
          <a:extLst>
            <a:ext uri="{FF2B5EF4-FFF2-40B4-BE49-F238E27FC236}">
              <a16:creationId xmlns:a16="http://schemas.microsoft.com/office/drawing/2014/main" id="{6CF9E0AE-02DF-1DAD-851A-8819D840220C}"/>
            </a:ext>
          </a:extLst>
        </xdr:cNvPr>
        <xdr:cNvPicPr>
          <a:picLocks noChangeAspect="1"/>
        </xdr:cNvPicPr>
      </xdr:nvPicPr>
      <xdr:blipFill>
        <a:blip xmlns:r="http://schemas.openxmlformats.org/officeDocument/2006/relationships" r:embed="rId2"/>
        <a:stretch>
          <a:fillRect/>
        </a:stretch>
      </xdr:blipFill>
      <xdr:spPr>
        <a:xfrm>
          <a:off x="1428750" y="5143500"/>
          <a:ext cx="8897592" cy="419158"/>
        </a:xfrm>
        <a:prstGeom prst="rect">
          <a:avLst/>
        </a:prstGeom>
      </xdr:spPr>
    </xdr:pic>
    <xdr:clientData/>
  </xdr:twoCellAnchor>
  <xdr:twoCellAnchor editAs="oneCell">
    <xdr:from>
      <xdr:col>2</xdr:col>
      <xdr:colOff>0</xdr:colOff>
      <xdr:row>28</xdr:row>
      <xdr:rowOff>0</xdr:rowOff>
    </xdr:from>
    <xdr:to>
      <xdr:col>17</xdr:col>
      <xdr:colOff>210921</xdr:colOff>
      <xdr:row>32</xdr:row>
      <xdr:rowOff>47738</xdr:rowOff>
    </xdr:to>
    <xdr:pic>
      <xdr:nvPicPr>
        <xdr:cNvPr id="5" name="Picture 4">
          <a:extLst>
            <a:ext uri="{FF2B5EF4-FFF2-40B4-BE49-F238E27FC236}">
              <a16:creationId xmlns:a16="http://schemas.microsoft.com/office/drawing/2014/main" id="{DE0EB883-D4A5-E842-B7B8-6D35CF131563}"/>
            </a:ext>
          </a:extLst>
        </xdr:cNvPr>
        <xdr:cNvPicPr>
          <a:picLocks noChangeAspect="1"/>
        </xdr:cNvPicPr>
      </xdr:nvPicPr>
      <xdr:blipFill>
        <a:blip xmlns:r="http://schemas.openxmlformats.org/officeDocument/2006/relationships" r:embed="rId3"/>
        <a:stretch>
          <a:fillRect/>
        </a:stretch>
      </xdr:blipFill>
      <xdr:spPr>
        <a:xfrm>
          <a:off x="1428750" y="5905500"/>
          <a:ext cx="9821646" cy="80973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85725</xdr:colOff>
      <xdr:row>30</xdr:row>
      <xdr:rowOff>85725</xdr:rowOff>
    </xdr:from>
    <xdr:to>
      <xdr:col>19</xdr:col>
      <xdr:colOff>363350</xdr:colOff>
      <xdr:row>53</xdr:row>
      <xdr:rowOff>76810</xdr:rowOff>
    </xdr:to>
    <xdr:pic>
      <xdr:nvPicPr>
        <xdr:cNvPr id="2" name="Picture 1">
          <a:extLst>
            <a:ext uri="{FF2B5EF4-FFF2-40B4-BE49-F238E27FC236}">
              <a16:creationId xmlns:a16="http://schemas.microsoft.com/office/drawing/2014/main" id="{5EF3950D-5946-D965-3C3C-AFB4EE4D28B0}"/>
            </a:ext>
          </a:extLst>
        </xdr:cNvPr>
        <xdr:cNvPicPr>
          <a:picLocks noChangeAspect="1"/>
        </xdr:cNvPicPr>
      </xdr:nvPicPr>
      <xdr:blipFill>
        <a:blip xmlns:r="http://schemas.openxmlformats.org/officeDocument/2006/relationships" r:embed="rId1"/>
        <a:stretch>
          <a:fillRect/>
        </a:stretch>
      </xdr:blipFill>
      <xdr:spPr>
        <a:xfrm>
          <a:off x="1914525" y="6562725"/>
          <a:ext cx="10031225" cy="4372585"/>
        </a:xfrm>
        <a:prstGeom prst="rect">
          <a:avLst/>
        </a:prstGeom>
      </xdr:spPr>
    </xdr:pic>
    <xdr:clientData/>
  </xdr:twoCellAnchor>
  <xdr:twoCellAnchor editAs="oneCell">
    <xdr:from>
      <xdr:col>20</xdr:col>
      <xdr:colOff>0</xdr:colOff>
      <xdr:row>32</xdr:row>
      <xdr:rowOff>0</xdr:rowOff>
    </xdr:from>
    <xdr:to>
      <xdr:col>33</xdr:col>
      <xdr:colOff>591739</xdr:colOff>
      <xdr:row>45</xdr:row>
      <xdr:rowOff>181346</xdr:rowOff>
    </xdr:to>
    <xdr:pic>
      <xdr:nvPicPr>
        <xdr:cNvPr id="3" name="Picture 2">
          <a:extLst>
            <a:ext uri="{FF2B5EF4-FFF2-40B4-BE49-F238E27FC236}">
              <a16:creationId xmlns:a16="http://schemas.microsoft.com/office/drawing/2014/main" id="{351BCE0B-9A29-57FB-78C4-CBBB31371262}"/>
            </a:ext>
          </a:extLst>
        </xdr:cNvPr>
        <xdr:cNvPicPr>
          <a:picLocks noChangeAspect="1"/>
        </xdr:cNvPicPr>
      </xdr:nvPicPr>
      <xdr:blipFill>
        <a:blip xmlns:r="http://schemas.openxmlformats.org/officeDocument/2006/relationships" r:embed="rId2"/>
        <a:stretch>
          <a:fillRect/>
        </a:stretch>
      </xdr:blipFill>
      <xdr:spPr>
        <a:xfrm>
          <a:off x="12192000" y="6858000"/>
          <a:ext cx="8516539" cy="265784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7</xdr:col>
      <xdr:colOff>419100</xdr:colOff>
      <xdr:row>18</xdr:row>
      <xdr:rowOff>166687</xdr:rowOff>
    </xdr:from>
    <xdr:to>
      <xdr:col>15</xdr:col>
      <xdr:colOff>114300</xdr:colOff>
      <xdr:row>33</xdr:row>
      <xdr:rowOff>52387</xdr:rowOff>
    </xdr:to>
    <xdr:graphicFrame macro="">
      <xdr:nvGraphicFramePr>
        <xdr:cNvPr id="2" name="Chart 1">
          <a:extLst>
            <a:ext uri="{FF2B5EF4-FFF2-40B4-BE49-F238E27FC236}">
              <a16:creationId xmlns:a16="http://schemas.microsoft.com/office/drawing/2014/main" id="{78CC7E1F-7098-9E29-8B6B-35D9365373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A96A5-A17F-485E-8423-824A1BEA4AB0}">
  <dimension ref="B3:V12"/>
  <sheetViews>
    <sheetView topLeftCell="A3" zoomScale="85" zoomScaleNormal="85" workbookViewId="0">
      <selection activeCell="B21" sqref="B21"/>
    </sheetView>
  </sheetViews>
  <sheetFormatPr baseColWidth="10" defaultColWidth="8.83203125" defaultRowHeight="15" x14ac:dyDescent="0.2"/>
  <sheetData>
    <row r="3" spans="2:22" x14ac:dyDescent="0.2">
      <c r="B3" t="s">
        <v>5</v>
      </c>
    </row>
    <row r="4" spans="2:22" x14ac:dyDescent="0.2">
      <c r="D4" t="s">
        <v>2</v>
      </c>
      <c r="E4" t="s">
        <v>0</v>
      </c>
      <c r="P4" t="s">
        <v>38</v>
      </c>
    </row>
    <row r="5" spans="2:22" x14ac:dyDescent="0.2">
      <c r="D5" s="1">
        <v>0.1</v>
      </c>
      <c r="E5" s="1">
        <v>0.17777780000000001</v>
      </c>
      <c r="F5" s="1">
        <v>0.25555559999999999</v>
      </c>
      <c r="G5" s="1">
        <v>0.3333333</v>
      </c>
      <c r="H5" s="1">
        <v>0.41111110000000001</v>
      </c>
      <c r="I5" s="1">
        <v>0.48888890000000002</v>
      </c>
      <c r="J5" s="1">
        <v>0.56666669999999997</v>
      </c>
      <c r="K5" s="1">
        <v>0.64444440000000003</v>
      </c>
      <c r="L5" s="1">
        <v>0.72222220000000004</v>
      </c>
      <c r="M5" s="1">
        <v>5.8333300000000003E-3</v>
      </c>
    </row>
    <row r="6" spans="2:22" ht="16" thickBot="1" x14ac:dyDescent="0.25">
      <c r="B6" t="s">
        <v>3</v>
      </c>
      <c r="C6" s="1">
        <v>27.5</v>
      </c>
      <c r="D6">
        <v>8.6333299999999998E-3</v>
      </c>
      <c r="E6">
        <v>7.15556E-3</v>
      </c>
      <c r="F6">
        <v>6.1222200000000003E-3</v>
      </c>
      <c r="G6">
        <v>5.5333300000000004E-3</v>
      </c>
      <c r="H6">
        <v>5.3407400000000001E-3</v>
      </c>
      <c r="I6">
        <v>5.3925900000000001E-3</v>
      </c>
      <c r="J6">
        <v>5.4666699999999999E-3</v>
      </c>
      <c r="K6">
        <v>5.6629599999999999E-3</v>
      </c>
      <c r="L6">
        <v>5.8592599999999998E-3</v>
      </c>
      <c r="M6">
        <v>5.8333300000000003E-3</v>
      </c>
      <c r="P6" t="s">
        <v>17</v>
      </c>
    </row>
    <row r="7" spans="2:22" x14ac:dyDescent="0.2">
      <c r="B7" t="s">
        <v>1</v>
      </c>
      <c r="C7" s="1">
        <v>30</v>
      </c>
      <c r="D7">
        <v>1.1866669999999999E-2</v>
      </c>
      <c r="E7">
        <v>8.99259E-3</v>
      </c>
      <c r="F7">
        <v>7.6740699999999998E-3</v>
      </c>
      <c r="G7">
        <v>6.9111099999999998E-3</v>
      </c>
      <c r="H7">
        <v>6.6481500000000002E-3</v>
      </c>
      <c r="I7">
        <v>6.6481500000000002E-3</v>
      </c>
      <c r="J7">
        <v>6.5277800000000004E-3</v>
      </c>
      <c r="K7">
        <v>6.1574100000000003E-3</v>
      </c>
      <c r="L7">
        <v>5.9963000000000004E-3</v>
      </c>
      <c r="M7">
        <v>7.3000000000000001E-3</v>
      </c>
      <c r="P7" s="3"/>
      <c r="Q7" s="3" t="s">
        <v>22</v>
      </c>
      <c r="R7" s="3" t="s">
        <v>23</v>
      </c>
      <c r="S7" s="3" t="s">
        <v>24</v>
      </c>
      <c r="T7" s="3" t="s">
        <v>25</v>
      </c>
      <c r="U7" s="3" t="s">
        <v>26</v>
      </c>
    </row>
    <row r="8" spans="2:22" x14ac:dyDescent="0.2">
      <c r="C8" s="1">
        <v>32.5</v>
      </c>
      <c r="D8">
        <v>1.09E-2</v>
      </c>
      <c r="E8">
        <v>6.4555599999999999E-3</v>
      </c>
      <c r="F8">
        <v>5.3814800000000001E-3</v>
      </c>
      <c r="G8">
        <v>5.0777799999999996E-3</v>
      </c>
      <c r="H8">
        <v>5.0000000000000001E-3</v>
      </c>
      <c r="I8">
        <v>5.0444399999999999E-3</v>
      </c>
      <c r="J8">
        <v>5.5111099999999996E-3</v>
      </c>
      <c r="K8">
        <v>6.4074099999999997E-3</v>
      </c>
      <c r="L8">
        <v>6.5222199999999996E-3</v>
      </c>
      <c r="M8">
        <v>5.3666699999999996E-3</v>
      </c>
      <c r="P8" t="s">
        <v>18</v>
      </c>
      <c r="Q8">
        <v>5</v>
      </c>
      <c r="R8">
        <v>6.6399829182092182E-5</v>
      </c>
      <c r="S8">
        <v>1.3279965836418436E-5</v>
      </c>
      <c r="T8">
        <v>22.809032437795299</v>
      </c>
      <c r="U8" s="5">
        <v>7.7224884835039097E-10</v>
      </c>
      <c r="V8" t="s">
        <v>39</v>
      </c>
    </row>
    <row r="9" spans="2:22" x14ac:dyDescent="0.2">
      <c r="C9" s="1">
        <v>35</v>
      </c>
      <c r="D9">
        <v>1.0200000000000001E-2</v>
      </c>
      <c r="E9">
        <v>7.9777800000000003E-3</v>
      </c>
      <c r="F9">
        <v>6.7925900000000003E-3</v>
      </c>
      <c r="G9">
        <v>6.1999999999999998E-3</v>
      </c>
      <c r="H9">
        <v>6.0333299999999999E-3</v>
      </c>
      <c r="I9">
        <v>5.4407400000000003E-3</v>
      </c>
      <c r="J9">
        <v>5.1000000000000004E-3</v>
      </c>
      <c r="K9">
        <v>5.7074099999999996E-3</v>
      </c>
      <c r="L9">
        <v>5.0370399999999996E-3</v>
      </c>
      <c r="M9">
        <v>5.0666699999999997E-3</v>
      </c>
      <c r="P9" t="s">
        <v>19</v>
      </c>
      <c r="Q9">
        <v>33</v>
      </c>
      <c r="R9">
        <v>1.9213391615666806E-5</v>
      </c>
      <c r="S9">
        <v>5.8222398835353958E-7</v>
      </c>
      <c r="V9" t="s">
        <v>40</v>
      </c>
    </row>
    <row r="10" spans="2:22" ht="16" thickBot="1" x14ac:dyDescent="0.25">
      <c r="B10" t="s">
        <v>62</v>
      </c>
      <c r="C10" s="1">
        <v>37.4</v>
      </c>
      <c r="D10">
        <v>6.1999999999999998E-3</v>
      </c>
      <c r="E10">
        <v>5.3185200000000002E-3</v>
      </c>
      <c r="F10">
        <v>4.8074099999999998E-3</v>
      </c>
      <c r="G10">
        <v>4.5222200000000004E-3</v>
      </c>
      <c r="H10">
        <v>4.35185E-3</v>
      </c>
      <c r="I10">
        <v>4.24815E-3</v>
      </c>
      <c r="J10">
        <v>4.4111100000000002E-3</v>
      </c>
      <c r="K10">
        <v>4.4407400000000003E-3</v>
      </c>
      <c r="L10">
        <v>4.4629600000000002E-3</v>
      </c>
      <c r="M10">
        <v>4.7999999999999996E-3</v>
      </c>
      <c r="P10" s="2" t="s">
        <v>20</v>
      </c>
      <c r="Q10" s="2">
        <v>38</v>
      </c>
      <c r="R10" s="2">
        <v>8.5613220797758991E-5</v>
      </c>
      <c r="S10" s="2"/>
      <c r="T10" s="2"/>
      <c r="U10" s="2"/>
    </row>
    <row r="11" spans="2:22" x14ac:dyDescent="0.2">
      <c r="B11" t="s">
        <v>62</v>
      </c>
      <c r="C11" s="1">
        <v>42.5</v>
      </c>
      <c r="D11">
        <v>5.6666700000000004E-3</v>
      </c>
      <c r="E11">
        <v>4.9407399999999999E-3</v>
      </c>
      <c r="F11">
        <v>4.4000000000000003E-3</v>
      </c>
      <c r="G11">
        <v>4.1111100000000003E-3</v>
      </c>
      <c r="H11">
        <v>4.0740699999999999E-3</v>
      </c>
      <c r="I11">
        <v>4.1259299999999999E-3</v>
      </c>
      <c r="J11">
        <v>4.1999999999999997E-3</v>
      </c>
      <c r="K11">
        <v>4.0851899999999998E-3</v>
      </c>
      <c r="L11">
        <v>3.9370400000000002E-3</v>
      </c>
      <c r="M11">
        <v>4.0666699999999997E-3</v>
      </c>
    </row>
    <row r="12" spans="2:22" x14ac:dyDescent="0.2">
      <c r="B12" t="s">
        <v>62</v>
      </c>
      <c r="C12" s="1">
        <v>45</v>
      </c>
      <c r="D12">
        <v>5.2333299999999996E-3</v>
      </c>
      <c r="E12">
        <v>4.6370400000000003E-3</v>
      </c>
      <c r="F12">
        <v>4.1703699999999996E-3</v>
      </c>
      <c r="G12">
        <v>3.9111099999999998E-3</v>
      </c>
      <c r="H12">
        <v>3.8592600000000002E-3</v>
      </c>
      <c r="I12">
        <v>3.8074099999999998E-3</v>
      </c>
      <c r="J12">
        <v>3.8222199999999999E-3</v>
      </c>
      <c r="K12">
        <v>3.8333299999999998E-3</v>
      </c>
      <c r="L12">
        <v>3.9370400000000002E-3</v>
      </c>
      <c r="M12">
        <v>4.3E-3</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F9D39-616A-4396-BCEF-4927428A3916}">
  <dimension ref="A1:M34"/>
  <sheetViews>
    <sheetView workbookViewId="0">
      <selection activeCell="J9" sqref="J9"/>
    </sheetView>
  </sheetViews>
  <sheetFormatPr baseColWidth="10" defaultColWidth="8.83203125" defaultRowHeight="15" x14ac:dyDescent="0.2"/>
  <cols>
    <col min="2" max="2" width="12.33203125" bestFit="1" customWidth="1"/>
    <col min="3" max="3" width="12.6640625" bestFit="1" customWidth="1"/>
    <col min="6" max="6" width="12.33203125" bestFit="1" customWidth="1"/>
    <col min="7" max="8" width="9.33203125" bestFit="1" customWidth="1"/>
  </cols>
  <sheetData>
    <row r="1" spans="1:13" x14ac:dyDescent="0.2">
      <c r="A1" t="s">
        <v>41</v>
      </c>
    </row>
    <row r="2" spans="1:13" ht="16" x14ac:dyDescent="0.2">
      <c r="A2" s="6" t="s">
        <v>42</v>
      </c>
      <c r="B2" s="6" t="s">
        <v>43</v>
      </c>
      <c r="C2" s="6">
        <v>0.1</v>
      </c>
      <c r="D2" s="6">
        <v>0.18888888888888891</v>
      </c>
      <c r="E2" s="6">
        <v>0.27777777777777779</v>
      </c>
      <c r="F2" s="6">
        <v>0.3666666666666667</v>
      </c>
      <c r="G2" s="6">
        <v>0.4555555555555556</v>
      </c>
      <c r="H2" s="6">
        <v>0.5444444444444444</v>
      </c>
      <c r="I2" s="6">
        <v>0.63333333333333341</v>
      </c>
      <c r="J2" s="6">
        <v>0.72222222222222221</v>
      </c>
      <c r="K2" s="6">
        <v>0.81111111111111112</v>
      </c>
      <c r="L2" s="6">
        <v>0.9</v>
      </c>
      <c r="M2" s="11" t="s">
        <v>54</v>
      </c>
    </row>
    <row r="3" spans="1:13" x14ac:dyDescent="0.2">
      <c r="A3" s="7">
        <v>303.14999999999998</v>
      </c>
      <c r="B3" s="7">
        <f>A3-273.15</f>
        <v>30</v>
      </c>
      <c r="C3" s="9">
        <v>3.0263</v>
      </c>
      <c r="D3" s="9">
        <v>3.2180333331415998</v>
      </c>
      <c r="E3" s="9">
        <v>3.364888888766</v>
      </c>
      <c r="F3" s="9">
        <v>3.4939333332393998</v>
      </c>
      <c r="G3" s="9">
        <v>3.6106777777080001</v>
      </c>
      <c r="H3" s="9">
        <v>3.7337444443772001</v>
      </c>
      <c r="I3" s="9">
        <v>3.8540499999818749</v>
      </c>
      <c r="J3" s="9">
        <v>3.9507166666002091</v>
      </c>
      <c r="K3" s="9">
        <v>4.0404777777726002</v>
      </c>
      <c r="L3" s="9">
        <v>4.0818999999534</v>
      </c>
    </row>
    <row r="4" spans="1:13" x14ac:dyDescent="0.2">
      <c r="A4" s="7">
        <v>305.64999999999998</v>
      </c>
      <c r="B4" s="7">
        <f>A4-273.15</f>
        <v>32.5</v>
      </c>
      <c r="C4" s="9">
        <v>3.0375999999999999</v>
      </c>
      <c r="D4" s="9">
        <v>3.2247999998128001</v>
      </c>
      <c r="E4" s="9">
        <v>3.3703111109889998</v>
      </c>
      <c r="F4" s="9">
        <v>3.4985333332400002</v>
      </c>
      <c r="G4" s="9">
        <v>3.6153111110410001</v>
      </c>
      <c r="H4" s="9">
        <v>3.7369555554899998</v>
      </c>
      <c r="I4" s="9">
        <v>3.8456333333066</v>
      </c>
      <c r="J4" s="9">
        <v>3.9292555555253998</v>
      </c>
      <c r="K4" s="9">
        <v>4.0400555555502997</v>
      </c>
      <c r="L4" s="9">
        <v>4.0820999999526997</v>
      </c>
    </row>
    <row r="5" spans="1:13" x14ac:dyDescent="0.2">
      <c r="A5" s="7">
        <v>308.14999999999998</v>
      </c>
      <c r="B5" s="7">
        <f>A5-273.15</f>
        <v>35</v>
      </c>
      <c r="C5" s="9">
        <v>3.0438999999999998</v>
      </c>
      <c r="D5" s="9">
        <v>3.2276333331495999</v>
      </c>
      <c r="E5" s="9">
        <v>3.3730999998775002</v>
      </c>
      <c r="F5" s="9">
        <v>3.5006999999074</v>
      </c>
      <c r="G5" s="9">
        <v>3.6166111110414998</v>
      </c>
      <c r="H5" s="9">
        <v>3.7375888888236002</v>
      </c>
      <c r="I5" s="9">
        <v>3.8456999999735002</v>
      </c>
      <c r="J5" s="9">
        <v>3.9286999999700001</v>
      </c>
      <c r="K5" s="9">
        <v>4.0391333333279</v>
      </c>
      <c r="L5" s="9">
        <v>4.0825999999510998</v>
      </c>
    </row>
    <row r="6" spans="1:13" x14ac:dyDescent="0.2">
      <c r="A6" s="7">
        <v>311.14999999999998</v>
      </c>
      <c r="B6" s="7">
        <f>A6-273.15</f>
        <v>38</v>
      </c>
      <c r="C6" s="9">
        <v>3.0283000000000002</v>
      </c>
      <c r="D6" s="9">
        <v>3.2179888886992001</v>
      </c>
      <c r="E6" s="9">
        <v>3.3645888887659998</v>
      </c>
      <c r="F6" s="9">
        <v>3.4937666665726002</v>
      </c>
      <c r="G6" s="9">
        <v>3.6094666665980002</v>
      </c>
      <c r="H6" s="9">
        <v>3.7311555554888001</v>
      </c>
      <c r="I6" s="9">
        <v>3.8416999999728998</v>
      </c>
      <c r="J6" s="9">
        <v>3.9258333333033999</v>
      </c>
      <c r="K6" s="9">
        <v>4.0363222222164996</v>
      </c>
      <c r="L6" s="9">
        <v>4.0820999999484986</v>
      </c>
      <c r="M6" s="10" t="s">
        <v>55</v>
      </c>
    </row>
    <row r="7" spans="1:13" x14ac:dyDescent="0.2">
      <c r="B7" t="s">
        <v>47</v>
      </c>
    </row>
    <row r="8" spans="1:13" ht="32" x14ac:dyDescent="0.2">
      <c r="B8" s="6" t="s">
        <v>48</v>
      </c>
      <c r="C8" s="7" t="s">
        <v>44</v>
      </c>
      <c r="D8" s="7" t="s">
        <v>45</v>
      </c>
      <c r="E8" s="7" t="s">
        <v>46</v>
      </c>
      <c r="F8" s="6" t="s">
        <v>49</v>
      </c>
      <c r="G8" s="8">
        <v>303.14999999999998</v>
      </c>
      <c r="H8" s="8">
        <v>305.64999999999998</v>
      </c>
      <c r="I8" s="8">
        <v>308.14999999999998</v>
      </c>
      <c r="J8" s="8">
        <v>311.14999999999998</v>
      </c>
    </row>
    <row r="9" spans="1:13" x14ac:dyDescent="0.2">
      <c r="B9" s="6">
        <v>0.1</v>
      </c>
      <c r="C9" cm="1">
        <f t="array" ref="C9:E9">LINEST(C$3:C$6,$A$3:$A$6^{1,2})</f>
        <v>-9.5513334047355489E-4</v>
      </c>
      <c r="D9">
        <v>0.58714914255124395</v>
      </c>
      <c r="E9">
        <v>-87.192014203164504</v>
      </c>
      <c r="F9" s="6">
        <v>0.1</v>
      </c>
      <c r="G9">
        <f>$D9+2*$C9*G$8</f>
        <v>8.0517982221276485E-3</v>
      </c>
      <c r="H9">
        <f t="shared" ref="H9:J10" si="0">$D9+2*$C9*H$8</f>
        <v>3.2761315197599172E-3</v>
      </c>
      <c r="I9">
        <f t="shared" si="0"/>
        <v>-1.4995351826079251E-3</v>
      </c>
      <c r="J9">
        <f t="shared" si="0"/>
        <v>-7.230335225449247E-3</v>
      </c>
    </row>
    <row r="10" spans="1:13" x14ac:dyDescent="0.2">
      <c r="B10" s="6">
        <v>0.18888888888888891</v>
      </c>
      <c r="C10" cm="1">
        <f t="array" ref="C10:E10">LINEST(D$3:D$6,$A$3:$A$6^{1,2})</f>
        <v>-5.7790058705163311E-4</v>
      </c>
      <c r="D10">
        <v>0.35507499096197825</v>
      </c>
      <c r="E10">
        <v>-51.314277927945369</v>
      </c>
      <c r="F10" s="6">
        <v>0.18888888888888891</v>
      </c>
      <c r="G10">
        <f>$D10+2*$C10*G$8</f>
        <v>4.6938650325731301E-3</v>
      </c>
      <c r="H10">
        <f t="shared" si="0"/>
        <v>1.8043620973149377E-3</v>
      </c>
      <c r="I10">
        <f t="shared" si="0"/>
        <v>-1.0851408379431993E-3</v>
      </c>
      <c r="J10">
        <f t="shared" si="0"/>
        <v>-4.5525443602529858E-3</v>
      </c>
    </row>
    <row r="11" spans="1:13" x14ac:dyDescent="0.2">
      <c r="B11" s="6">
        <v>0.27777777777777779</v>
      </c>
      <c r="C11" cm="1">
        <f t="array" ref="C11:E11">LINEST(E$3:E$6,$A$3:$A$6^{1,2})</f>
        <v>-4.9164518704907065E-4</v>
      </c>
      <c r="D11">
        <v>0.30206149200935933</v>
      </c>
      <c r="E11">
        <v>-43.023268125731782</v>
      </c>
      <c r="F11" s="6">
        <v>0.27777777777777779</v>
      </c>
      <c r="G11">
        <f t="shared" ref="G11:J18" si="1">$D11+2*$C11*G$8</f>
        <v>3.9770151015078303E-3</v>
      </c>
      <c r="H11">
        <f t="shared" si="1"/>
        <v>1.5187891662624686E-3</v>
      </c>
      <c r="I11">
        <f t="shared" si="1"/>
        <v>-9.3943676898289308E-4</v>
      </c>
      <c r="J11">
        <f t="shared" si="1"/>
        <v>-3.8893078912772827E-3</v>
      </c>
    </row>
    <row r="12" spans="1:13" x14ac:dyDescent="0.2">
      <c r="B12" s="6">
        <v>0.3666666666666667</v>
      </c>
      <c r="C12" cm="1">
        <f t="array" ref="C12:E12">LINEST(F$3:F$6,$A$3:$A$6^{1,2})</f>
        <v>-4.0657384606306176E-4</v>
      </c>
      <c r="D12">
        <v>0.24979883521735388</v>
      </c>
      <c r="E12">
        <v>-34.868757889822916</v>
      </c>
      <c r="F12" s="6">
        <v>0.3666666666666667</v>
      </c>
      <c r="G12">
        <f t="shared" si="1"/>
        <v>3.2931123493195602E-3</v>
      </c>
      <c r="H12">
        <f t="shared" si="1"/>
        <v>1.2602431190042451E-3</v>
      </c>
      <c r="I12">
        <f t="shared" si="1"/>
        <v>-7.726261113110422E-4</v>
      </c>
      <c r="J12">
        <f t="shared" si="1"/>
        <v>-3.2120691876894314E-3</v>
      </c>
    </row>
    <row r="13" spans="1:13" x14ac:dyDescent="0.2">
      <c r="B13" s="6">
        <v>0.4555555555555556</v>
      </c>
      <c r="C13" cm="1">
        <f t="array" ref="C13:E13">LINEST(G$3:G$6,$A$3:$A$6^{1,2})</f>
        <v>-4.1096259798569326E-4</v>
      </c>
      <c r="D13">
        <v>0.25234471402760483</v>
      </c>
      <c r="E13">
        <v>-35.120381540839787</v>
      </c>
      <c r="F13" s="6">
        <v>0.4555555555555556</v>
      </c>
      <c r="G13">
        <f t="shared" si="1"/>
        <v>3.1780908688790188E-3</v>
      </c>
      <c r="H13">
        <f t="shared" si="1"/>
        <v>1.1232778789505571E-3</v>
      </c>
      <c r="I13">
        <f t="shared" si="1"/>
        <v>-9.3153511097787689E-4</v>
      </c>
      <c r="J13">
        <f t="shared" si="1"/>
        <v>-3.3973106988920421E-3</v>
      </c>
    </row>
    <row r="14" spans="1:13" x14ac:dyDescent="0.2">
      <c r="B14" s="6">
        <v>0.5444444444444444</v>
      </c>
      <c r="C14" cm="1">
        <f t="array" ref="C14:E14">LINEST(H$3:H$6,$A$3:$A$6^{1,2})</f>
        <v>-3.332950151644096E-4</v>
      </c>
      <c r="D14">
        <v>0.20445630894677905</v>
      </c>
      <c r="E14">
        <v>-27.61756701773081</v>
      </c>
      <c r="F14" s="6">
        <v>0.5444444444444444</v>
      </c>
      <c r="G14">
        <f t="shared" si="1"/>
        <v>2.3795412525975113E-3</v>
      </c>
      <c r="H14">
        <f t="shared" si="1"/>
        <v>7.1306617677546758E-4</v>
      </c>
      <c r="I14">
        <f t="shared" si="1"/>
        <v>-9.5340889904657611E-4</v>
      </c>
      <c r="J14">
        <f t="shared" si="1"/>
        <v>-2.9531789900330285E-3</v>
      </c>
    </row>
    <row r="15" spans="1:13" x14ac:dyDescent="0.2">
      <c r="B15" s="6">
        <v>0.63333333333333341</v>
      </c>
      <c r="C15" cm="1">
        <f t="array" ref="C15:E15">LINEST(I$3:I$6,$A$3:$A$6^{1,2})</f>
        <v>1.6650922880398576E-4</v>
      </c>
      <c r="D15">
        <v>-0.10368208085965809</v>
      </c>
      <c r="E15">
        <v>19.982412622095843</v>
      </c>
      <c r="F15" s="6">
        <v>0.63333333333333341</v>
      </c>
      <c r="G15">
        <f t="shared" si="1"/>
        <v>-2.7275354358015369E-3</v>
      </c>
      <c r="H15">
        <f t="shared" si="1"/>
        <v>-1.8949892917816125E-3</v>
      </c>
      <c r="I15">
        <f t="shared" si="1"/>
        <v>-1.0624431477616741E-3</v>
      </c>
      <c r="J15">
        <f t="shared" si="1"/>
        <v>-6.3387774937764818E-5</v>
      </c>
    </row>
    <row r="16" spans="1:13" x14ac:dyDescent="0.2">
      <c r="B16" s="6">
        <v>0.72222222222222221</v>
      </c>
      <c r="C16" cm="1">
        <f t="array" ref="C16:E16">LINEST(J$3:J$6,$A$3:$A$6^{1,2})</f>
        <v>6.7362904919595484E-4</v>
      </c>
      <c r="D16">
        <v>-0.41663154782939821</v>
      </c>
      <c r="E16">
        <v>68.344796646035718</v>
      </c>
      <c r="F16" s="6">
        <v>0.72222222222222221</v>
      </c>
      <c r="G16">
        <f t="shared" si="1"/>
        <v>-8.2102553018907898E-3</v>
      </c>
      <c r="H16">
        <f t="shared" si="1"/>
        <v>-4.8421100559110641E-3</v>
      </c>
      <c r="I16">
        <f t="shared" si="1"/>
        <v>-1.473964809931283E-3</v>
      </c>
      <c r="J16">
        <f t="shared" si="1"/>
        <v>2.5678094852444877E-3</v>
      </c>
    </row>
    <row r="17" spans="2:10" x14ac:dyDescent="0.2">
      <c r="B17" s="6">
        <v>0.81111111111111112</v>
      </c>
      <c r="C17" cm="1">
        <f t="array" ref="C17:E17">LINEST(K$3:K$6,$A$3:$A$6^{1,2})</f>
        <v>-7.5012435596900773E-5</v>
      </c>
      <c r="D17">
        <v>4.5570832129165899E-2</v>
      </c>
      <c r="E17">
        <v>-2.8807291068794569</v>
      </c>
      <c r="F17" s="6">
        <v>0.81111111111111112</v>
      </c>
      <c r="G17">
        <f t="shared" si="1"/>
        <v>9.0792426764962908E-5</v>
      </c>
      <c r="H17">
        <f t="shared" si="1"/>
        <v>-2.8426975121954162E-4</v>
      </c>
      <c r="I17">
        <f t="shared" si="1"/>
        <v>-6.5933192920404615E-4</v>
      </c>
      <c r="J17">
        <f t="shared" si="1"/>
        <v>-1.1094065427854488E-3</v>
      </c>
    </row>
    <row r="18" spans="2:10" x14ac:dyDescent="0.2">
      <c r="B18" s="6">
        <v>0.9</v>
      </c>
      <c r="C18" cm="1">
        <f t="array" ref="C18:E18">LINEST(L$3:L$6,$A$3:$A$6^{1,2})</f>
        <v>-2.614972694800956E-5</v>
      </c>
      <c r="D18">
        <v>1.6103297452042035E-2</v>
      </c>
      <c r="E18">
        <v>1.6032771653926496</v>
      </c>
      <c r="F18" s="6">
        <v>0.9</v>
      </c>
      <c r="G18">
        <f>$D18+2*$C18*G$8</f>
        <v>2.4871800346383879E-4</v>
      </c>
      <c r="H18">
        <f t="shared" si="1"/>
        <v>1.1796936872379357E-4</v>
      </c>
      <c r="I18">
        <f t="shared" si="1"/>
        <v>-1.277926601625512E-5</v>
      </c>
      <c r="J18">
        <f t="shared" si="1"/>
        <v>-1.6967762770431216E-4</v>
      </c>
    </row>
    <row r="23" spans="2:10" x14ac:dyDescent="0.2">
      <c r="C23" t="s">
        <v>50</v>
      </c>
    </row>
    <row r="24" spans="2:10" x14ac:dyDescent="0.2">
      <c r="C24" t="s">
        <v>51</v>
      </c>
    </row>
    <row r="28" spans="2:10" x14ac:dyDescent="0.2">
      <c r="C28" t="s">
        <v>52</v>
      </c>
    </row>
    <row r="34" spans="3:3" x14ac:dyDescent="0.2">
      <c r="C34" t="s">
        <v>53</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2A62B-AE4F-476D-9C4E-86C9DD541611}">
  <dimension ref="B1:Z27"/>
  <sheetViews>
    <sheetView tabSelected="1" workbookViewId="0">
      <selection activeCell="Q17" sqref="Q17:Z20"/>
    </sheetView>
  </sheetViews>
  <sheetFormatPr baseColWidth="10" defaultColWidth="8.83203125" defaultRowHeight="15" x14ac:dyDescent="0.2"/>
  <sheetData>
    <row r="1" spans="2:26" x14ac:dyDescent="0.2">
      <c r="B1" t="s">
        <v>56</v>
      </c>
      <c r="D1" t="s">
        <v>54</v>
      </c>
      <c r="O1" t="s">
        <v>57</v>
      </c>
      <c r="Q1" t="s">
        <v>54</v>
      </c>
    </row>
    <row r="2" spans="2:26" ht="16" x14ac:dyDescent="0.2">
      <c r="B2" s="12" t="s">
        <v>42</v>
      </c>
      <c r="C2" s="12" t="s">
        <v>43</v>
      </c>
      <c r="D2" s="12">
        <v>0.1</v>
      </c>
      <c r="E2" s="12">
        <v>0.18888888888888891</v>
      </c>
      <c r="F2" s="12">
        <v>0.27777777777777779</v>
      </c>
      <c r="G2" s="12">
        <v>0.3666666666666667</v>
      </c>
      <c r="H2" s="12">
        <v>0.4555555555555556</v>
      </c>
      <c r="I2" s="12">
        <v>0.5444444444444444</v>
      </c>
      <c r="J2" s="12">
        <v>0.63333333333333341</v>
      </c>
      <c r="K2" s="12">
        <v>0.72222222222222221</v>
      </c>
      <c r="L2" s="12">
        <v>0.81111111111111112</v>
      </c>
      <c r="M2" s="12">
        <v>0.9</v>
      </c>
      <c r="O2" s="12" t="s">
        <v>42</v>
      </c>
      <c r="P2" s="12" t="s">
        <v>43</v>
      </c>
      <c r="Q2" s="12">
        <v>0.1</v>
      </c>
      <c r="R2" s="12">
        <v>0.18888888888888891</v>
      </c>
      <c r="S2" s="12">
        <v>0.27777777777777779</v>
      </c>
      <c r="T2" s="12">
        <v>0.3666666666666667</v>
      </c>
      <c r="U2" s="12">
        <v>0.4555555555555556</v>
      </c>
      <c r="V2" s="12">
        <v>0.5444444444444444</v>
      </c>
      <c r="W2" s="12">
        <v>0.63333333333333341</v>
      </c>
      <c r="X2" s="12">
        <v>0.72222222222222221</v>
      </c>
      <c r="Y2" s="12">
        <v>0.81111111111111112</v>
      </c>
      <c r="Z2" s="12">
        <v>0.9</v>
      </c>
    </row>
    <row r="3" spans="2:26" x14ac:dyDescent="0.2">
      <c r="B3" s="7">
        <v>303.14999999999998</v>
      </c>
      <c r="C3" s="7">
        <f>B3-273.15</f>
        <v>30</v>
      </c>
      <c r="D3" s="7">
        <v>7.4506761275951287E-3</v>
      </c>
      <c r="E3" s="7">
        <v>3.7834754822074919E-3</v>
      </c>
      <c r="F3" s="7">
        <v>2.841237630069428E-3</v>
      </c>
      <c r="G3" s="7">
        <v>3.184991708050124E-3</v>
      </c>
      <c r="H3" s="7">
        <v>3.7902294754442148E-3</v>
      </c>
      <c r="I3" s="7">
        <v>4.0149122213464002E-3</v>
      </c>
      <c r="J3" s="7">
        <v>3.7909268773198622E-3</v>
      </c>
      <c r="K3" s="7">
        <v>3.415999599684273E-3</v>
      </c>
      <c r="L3" s="7">
        <v>3.27992850008824E-3</v>
      </c>
      <c r="M3" s="7">
        <v>4.8158506501434573E-3</v>
      </c>
      <c r="O3" s="7">
        <v>303.14999999999998</v>
      </c>
      <c r="P3" s="7">
        <f>O3-273.15</f>
        <v>30</v>
      </c>
      <c r="Q3" s="7">
        <v>4.065319975152392E-2</v>
      </c>
      <c r="R3" s="7">
        <v>2.682834795279615E-2</v>
      </c>
      <c r="S3" s="7">
        <v>1.9743777158756689E-2</v>
      </c>
      <c r="T3" s="7">
        <v>1.241388401573403E-2</v>
      </c>
      <c r="U3" s="7">
        <v>7.3627283186987417E-3</v>
      </c>
      <c r="V3" s="7">
        <v>5.881989216251389E-3</v>
      </c>
      <c r="W3" s="7">
        <v>6.7387219743690304E-3</v>
      </c>
      <c r="X3" s="7">
        <v>8.2220241724810048E-3</v>
      </c>
      <c r="Y3" s="7">
        <v>8.9847628010000426E-3</v>
      </c>
      <c r="Z3" s="7">
        <v>4.7035564290187799E-3</v>
      </c>
    </row>
    <row r="4" spans="2:26" x14ac:dyDescent="0.2">
      <c r="B4" s="7">
        <v>305.64999999999998</v>
      </c>
      <c r="C4" s="7">
        <f>B4-273.15</f>
        <v>32.5</v>
      </c>
      <c r="D4" s="7">
        <v>8.2941374392368587E-3</v>
      </c>
      <c r="E4" s="7">
        <v>3.630354453181711E-3</v>
      </c>
      <c r="F4" s="7">
        <v>2.979821011448283E-3</v>
      </c>
      <c r="G4" s="7">
        <v>2.6609909867612589E-3</v>
      </c>
      <c r="H4" s="7">
        <v>3.1474566400676459E-3</v>
      </c>
      <c r="I4" s="7">
        <v>3.6773540535977979E-3</v>
      </c>
      <c r="J4" s="7">
        <v>4.0507676111686047E-3</v>
      </c>
      <c r="K4" s="7">
        <v>4.8831521138186446E-3</v>
      </c>
      <c r="L4" s="7">
        <v>5.2380394823045096E-3</v>
      </c>
      <c r="M4" s="7">
        <v>4.2175455278670214E-3</v>
      </c>
      <c r="O4" s="7">
        <v>305.64999999999998</v>
      </c>
      <c r="P4" s="7">
        <f>O4-273.15</f>
        <v>32.5</v>
      </c>
      <c r="Q4" s="7">
        <v>4.7989881341982017E-2</v>
      </c>
      <c r="R4" s="7">
        <v>3.3189127101016888E-2</v>
      </c>
      <c r="S4" s="7">
        <v>2.522546477676979E-2</v>
      </c>
      <c r="T4" s="7">
        <v>1.482734959900006E-2</v>
      </c>
      <c r="U4" s="7">
        <v>8.3559920291669948E-3</v>
      </c>
      <c r="V4" s="7">
        <v>7.7026908057142426E-3</v>
      </c>
      <c r="W4" s="7">
        <v>7.0582555207625089E-3</v>
      </c>
      <c r="X4" s="7">
        <v>4.2870414933140807E-3</v>
      </c>
      <c r="Y4" s="7">
        <v>7.8208907048060265E-3</v>
      </c>
      <c r="Z4" s="7">
        <v>3.1710435909975132E-3</v>
      </c>
    </row>
    <row r="5" spans="2:26" x14ac:dyDescent="0.2">
      <c r="B5" s="7">
        <v>308.14999999999998</v>
      </c>
      <c r="C5" s="7">
        <f>B5-273.15</f>
        <v>35</v>
      </c>
      <c r="D5" s="7">
        <v>7.7451056252720698E-3</v>
      </c>
      <c r="E5" s="7">
        <v>4.4151836665525957E-3</v>
      </c>
      <c r="F5" s="7">
        <v>3.6980657391401679E-3</v>
      </c>
      <c r="G5" s="7">
        <v>3.4928582271836822E-3</v>
      </c>
      <c r="H5" s="7">
        <v>4.2044238401588354E-3</v>
      </c>
      <c r="I5" s="7">
        <v>4.233468503016989E-3</v>
      </c>
      <c r="J5" s="7">
        <v>3.8862125204665388E-3</v>
      </c>
      <c r="K5" s="7">
        <v>4.3867812217131506E-3</v>
      </c>
      <c r="L5" s="7">
        <v>3.472223821814694E-3</v>
      </c>
      <c r="M5" s="7">
        <v>3.8468430084847871E-3</v>
      </c>
      <c r="O5" s="7">
        <v>308.14999999999998</v>
      </c>
      <c r="P5" s="7">
        <f>O5-273.15</f>
        <v>35</v>
      </c>
      <c r="Q5" s="7">
        <v>4.6915176939382318E-2</v>
      </c>
      <c r="R5" s="7">
        <v>3.2278557658133221E-2</v>
      </c>
      <c r="S5" s="7">
        <v>2.1211476300988161E-2</v>
      </c>
      <c r="T5" s="7">
        <v>1.7004324560408481E-2</v>
      </c>
      <c r="U5" s="7">
        <v>1.135011118738111E-2</v>
      </c>
      <c r="V5" s="7">
        <v>6.5315197067182659E-3</v>
      </c>
      <c r="W5" s="7">
        <v>6.7720935572167084E-3</v>
      </c>
      <c r="X5" s="7">
        <v>9.6007081253812639E-3</v>
      </c>
      <c r="Y5" s="7">
        <v>8.9323231388573204E-3</v>
      </c>
      <c r="Z5" s="7">
        <v>2.4218424321615179E-3</v>
      </c>
    </row>
    <row r="6" spans="2:26" x14ac:dyDescent="0.2">
      <c r="B6" s="7">
        <v>311.14999999999998</v>
      </c>
      <c r="C6" s="7">
        <f>B6-273.15</f>
        <v>38</v>
      </c>
      <c r="D6" s="7">
        <v>7.3907378661210643E-3</v>
      </c>
      <c r="E6" s="7">
        <v>4.0513368775414293E-3</v>
      </c>
      <c r="F6" s="7">
        <v>3.3914462228725301E-3</v>
      </c>
      <c r="G6" s="7">
        <v>3.7899784433426168E-3</v>
      </c>
      <c r="H6" s="7">
        <v>4.2285426939681087E-3</v>
      </c>
      <c r="I6" s="7">
        <v>4.4814490344973314E-3</v>
      </c>
      <c r="J6" s="7">
        <v>4.1891516955130641E-3</v>
      </c>
      <c r="K6" s="7">
        <v>3.742691441199032E-3</v>
      </c>
      <c r="L6" s="7">
        <v>4.8825499254861286E-3</v>
      </c>
      <c r="M6" s="7">
        <v>3.891181663170042E-3</v>
      </c>
      <c r="O6" s="7">
        <v>311.14999999999998</v>
      </c>
      <c r="P6" s="7">
        <f>O6-273.15</f>
        <v>38</v>
      </c>
      <c r="Q6" s="7">
        <v>4.4403931024062662E-2</v>
      </c>
      <c r="R6" s="7">
        <v>3.0363285893568719E-2</v>
      </c>
      <c r="S6" s="7">
        <v>1.961298459440225E-2</v>
      </c>
      <c r="T6" s="7">
        <v>1.6762865449632191E-2</v>
      </c>
      <c r="U6" s="7">
        <v>1.0173109101031081E-2</v>
      </c>
      <c r="V6" s="7">
        <v>5.5263753630954617E-3</v>
      </c>
      <c r="W6" s="7">
        <v>5.6033889858687104E-3</v>
      </c>
      <c r="X6" s="7">
        <v>5.0337431773586063E-3</v>
      </c>
      <c r="Y6" s="7">
        <v>6.6618263657923461E-3</v>
      </c>
      <c r="Z6" s="7">
        <v>4.0359131926319064E-3</v>
      </c>
    </row>
    <row r="8" spans="2:26" x14ac:dyDescent="0.2">
      <c r="B8" t="s">
        <v>58</v>
      </c>
      <c r="D8" t="s">
        <v>54</v>
      </c>
      <c r="O8" t="s">
        <v>59</v>
      </c>
      <c r="Q8" t="s">
        <v>54</v>
      </c>
    </row>
    <row r="9" spans="2:26" ht="16" x14ac:dyDescent="0.2">
      <c r="B9" s="12" t="s">
        <v>42</v>
      </c>
      <c r="C9" s="12" t="s">
        <v>43</v>
      </c>
      <c r="D9" s="12">
        <v>0.1</v>
      </c>
      <c r="E9" s="12">
        <v>0.18888888888888891</v>
      </c>
      <c r="F9" s="12">
        <v>0.27777777777777779</v>
      </c>
      <c r="G9" s="12">
        <v>0.3666666666666667</v>
      </c>
      <c r="H9" s="12">
        <v>0.4555555555555556</v>
      </c>
      <c r="I9" s="12">
        <v>0.5444444444444444</v>
      </c>
      <c r="J9" s="12">
        <v>0.63333333333333341</v>
      </c>
      <c r="K9" s="12">
        <v>0.72222222222222221</v>
      </c>
      <c r="L9" s="12">
        <v>0.81111111111111112</v>
      </c>
      <c r="M9" s="12">
        <v>0.9</v>
      </c>
      <c r="O9" s="12" t="s">
        <v>42</v>
      </c>
      <c r="P9" s="12" t="s">
        <v>43</v>
      </c>
      <c r="Q9" s="12">
        <v>0.1</v>
      </c>
      <c r="R9" s="12">
        <v>0.18888888888888891</v>
      </c>
      <c r="S9" s="12">
        <v>0.27777777777777779</v>
      </c>
      <c r="T9" s="12">
        <v>0.3666666666666667</v>
      </c>
      <c r="U9" s="12">
        <v>0.4555555555555556</v>
      </c>
      <c r="V9" s="12">
        <v>0.5444444444444444</v>
      </c>
      <c r="W9" s="12">
        <v>0.63333333333333341</v>
      </c>
      <c r="X9" s="12">
        <v>0.72222222222222221</v>
      </c>
      <c r="Y9" s="12">
        <v>0.81111111111111112</v>
      </c>
      <c r="Z9" s="12">
        <v>0.9</v>
      </c>
    </row>
    <row r="10" spans="2:26" x14ac:dyDescent="0.2">
      <c r="B10" s="7">
        <v>303.14999999999998</v>
      </c>
      <c r="C10" s="7">
        <f>B10-273.15</f>
        <v>30</v>
      </c>
      <c r="D10" s="7">
        <v>1094.6989467820169</v>
      </c>
      <c r="E10" s="7">
        <v>1701.1068330183321</v>
      </c>
      <c r="F10" s="7">
        <v>2489.91100101245</v>
      </c>
      <c r="G10" s="7">
        <v>2704.0320858910868</v>
      </c>
      <c r="H10" s="7">
        <v>2870.8938386725481</v>
      </c>
      <c r="I10" s="7">
        <v>2960.7182930045278</v>
      </c>
      <c r="J10" s="7">
        <v>2942.3766639229279</v>
      </c>
      <c r="K10" s="7">
        <v>3025.1409615301209</v>
      </c>
      <c r="L10" s="7">
        <v>3013.4212780143271</v>
      </c>
      <c r="M10" s="7">
        <v>2340.3137258927381</v>
      </c>
      <c r="O10" s="7">
        <v>303.14999999999998</v>
      </c>
      <c r="P10" s="7">
        <f>O10-273.15</f>
        <v>30</v>
      </c>
      <c r="Q10" s="7">
        <v>3239.4692820939522</v>
      </c>
      <c r="R10" s="7">
        <v>5452.2888333249757</v>
      </c>
      <c r="S10" s="7">
        <v>8030.091383566687</v>
      </c>
      <c r="T10" s="7">
        <v>11664.432574787579</v>
      </c>
      <c r="U10" s="7">
        <v>21562.60819831616</v>
      </c>
      <c r="V10" s="7">
        <v>25481.97442237219</v>
      </c>
      <c r="W10" s="7">
        <v>20086.475427060461</v>
      </c>
      <c r="X10" s="7">
        <v>15059.91848511291</v>
      </c>
      <c r="Y10" s="7">
        <v>12439.020616869109</v>
      </c>
      <c r="Z10" s="7">
        <v>26657.736309790711</v>
      </c>
    </row>
    <row r="11" spans="2:26" x14ac:dyDescent="0.2">
      <c r="B11" s="7">
        <v>305.64999999999998</v>
      </c>
      <c r="C11" s="7">
        <f>B11-273.15</f>
        <v>32.5</v>
      </c>
      <c r="D11" s="7">
        <v>827.82879674378535</v>
      </c>
      <c r="E11" s="7">
        <v>1895.5668844768729</v>
      </c>
      <c r="F11" s="7">
        <v>2438.7737152335858</v>
      </c>
      <c r="G11" s="7">
        <v>2654.0479284844778</v>
      </c>
      <c r="H11" s="7">
        <v>2722.634309841575</v>
      </c>
      <c r="I11" s="7">
        <v>2815.7067204174068</v>
      </c>
      <c r="J11" s="7">
        <v>2621.6921305757078</v>
      </c>
      <c r="K11" s="7">
        <v>1960.5591663169071</v>
      </c>
      <c r="L11" s="7">
        <v>1760.0781133167609</v>
      </c>
      <c r="M11" s="7">
        <v>2379.1428284200711</v>
      </c>
      <c r="O11" s="7">
        <v>305.64999999999998</v>
      </c>
      <c r="P11" s="7">
        <f>O11-273.15</f>
        <v>32.5</v>
      </c>
      <c r="Q11" s="7">
        <v>2855.2214111027401</v>
      </c>
      <c r="R11" s="7">
        <v>4779.3006513500541</v>
      </c>
      <c r="S11" s="7">
        <v>7029.502561880432</v>
      </c>
      <c r="T11" s="7">
        <v>8314.2963848161544</v>
      </c>
      <c r="U11" s="7">
        <v>16434.206421408049</v>
      </c>
      <c r="V11" s="7">
        <v>20058.10736950647</v>
      </c>
      <c r="W11" s="7">
        <v>24610.352881194241</v>
      </c>
      <c r="X11" s="7">
        <v>33723.187073436049</v>
      </c>
      <c r="Y11" s="7">
        <v>12536.844427984061</v>
      </c>
      <c r="Z11" s="7">
        <v>23957.701406614589</v>
      </c>
    </row>
    <row r="12" spans="2:26" x14ac:dyDescent="0.2">
      <c r="B12" s="7">
        <v>308.14999999999998</v>
      </c>
      <c r="C12" s="7">
        <f>B12-273.15</f>
        <v>35</v>
      </c>
      <c r="D12" s="7">
        <v>871.17402045053905</v>
      </c>
      <c r="E12" s="7">
        <v>1405.734454467502</v>
      </c>
      <c r="F12" s="7">
        <v>1775.0401784420751</v>
      </c>
      <c r="G12" s="7">
        <v>1876.3425607303111</v>
      </c>
      <c r="H12" s="7">
        <v>2064.8081046415232</v>
      </c>
      <c r="I12" s="7">
        <v>2537.0993009772769</v>
      </c>
      <c r="J12" s="7">
        <v>2707.1913472040951</v>
      </c>
      <c r="K12" s="7">
        <v>2276.7550097585849</v>
      </c>
      <c r="L12" s="7">
        <v>2451.8122716263169</v>
      </c>
      <c r="M12" s="7">
        <v>2506.747737528548</v>
      </c>
      <c r="O12" s="7">
        <v>308.14999999999998</v>
      </c>
      <c r="P12" s="7">
        <f>O12-273.15</f>
        <v>35</v>
      </c>
      <c r="Q12" s="7">
        <v>3011.500560514356</v>
      </c>
      <c r="R12" s="7">
        <v>4871.8110944748514</v>
      </c>
      <c r="S12" s="7">
        <v>7389.5547526788441</v>
      </c>
      <c r="T12" s="7">
        <v>8532.8020724872586</v>
      </c>
      <c r="U12" s="7">
        <v>17907.272935158551</v>
      </c>
      <c r="V12" s="7">
        <v>24665.945415177412</v>
      </c>
      <c r="W12" s="7">
        <v>24521.413629038161</v>
      </c>
      <c r="X12" s="7">
        <v>21837.141571720069</v>
      </c>
      <c r="Y12" s="7">
        <v>12801.06861540733</v>
      </c>
      <c r="Z12" s="7">
        <v>45712.332454910371</v>
      </c>
    </row>
    <row r="13" spans="2:26" x14ac:dyDescent="0.2">
      <c r="B13" s="7">
        <v>311.14999999999998</v>
      </c>
      <c r="C13" s="7">
        <f>B13-273.15</f>
        <v>38</v>
      </c>
      <c r="D13" s="7">
        <v>889.40593088815262</v>
      </c>
      <c r="E13" s="7">
        <v>1308.23733426279</v>
      </c>
      <c r="F13" s="7">
        <v>1698.369129862901</v>
      </c>
      <c r="G13" s="7">
        <v>1975.096537768653</v>
      </c>
      <c r="H13" s="7">
        <v>2126.129663928702</v>
      </c>
      <c r="I13" s="7">
        <v>2228.1928734886269</v>
      </c>
      <c r="J13" s="7">
        <v>2614.1896155806071</v>
      </c>
      <c r="K13" s="7">
        <v>2924.6006975224791</v>
      </c>
      <c r="L13" s="7">
        <v>1865.7010308803719</v>
      </c>
      <c r="M13" s="7">
        <v>2586.0969292069808</v>
      </c>
      <c r="O13" s="7">
        <v>311.14999999999998</v>
      </c>
      <c r="P13" s="7">
        <f>O13-273.15</f>
        <v>38</v>
      </c>
      <c r="Q13" s="7">
        <v>2913.7224324689232</v>
      </c>
      <c r="R13" s="7">
        <v>4740.7267008529516</v>
      </c>
      <c r="S13" s="7">
        <v>7345.8246190584396</v>
      </c>
      <c r="T13" s="7">
        <v>10509.8530940444</v>
      </c>
      <c r="U13" s="7">
        <v>18600.005020063021</v>
      </c>
      <c r="V13" s="7">
        <v>26482.442875988741</v>
      </c>
      <c r="W13" s="7">
        <v>28436.354410366901</v>
      </c>
      <c r="X13" s="7">
        <v>23333.411916084529</v>
      </c>
      <c r="Y13" s="7">
        <v>14719.41962640758</v>
      </c>
      <c r="Z13" s="7">
        <v>29807.757233892549</v>
      </c>
    </row>
    <row r="15" spans="2:26" x14ac:dyDescent="0.2">
      <c r="B15" t="s">
        <v>60</v>
      </c>
      <c r="D15" t="s">
        <v>54</v>
      </c>
      <c r="O15" t="s">
        <v>61</v>
      </c>
      <c r="Q15" t="s">
        <v>54</v>
      </c>
    </row>
    <row r="16" spans="2:26" ht="16" x14ac:dyDescent="0.2">
      <c r="B16" s="12" t="s">
        <v>42</v>
      </c>
      <c r="C16" s="12" t="s">
        <v>43</v>
      </c>
      <c r="D16" s="12">
        <v>0.1</v>
      </c>
      <c r="E16" s="12">
        <v>0.18888888888888891</v>
      </c>
      <c r="F16" s="12">
        <v>0.27777777777777779</v>
      </c>
      <c r="G16" s="12">
        <v>0.3666666666666667</v>
      </c>
      <c r="H16" s="12">
        <v>0.4555555555555556</v>
      </c>
      <c r="I16" s="12">
        <v>0.5444444444444444</v>
      </c>
      <c r="J16" s="12">
        <v>0.63333333333333341</v>
      </c>
      <c r="K16" s="12">
        <v>0.72222222222222221</v>
      </c>
      <c r="L16" s="12">
        <v>0.81111111111111112</v>
      </c>
      <c r="M16" s="12">
        <v>0.9</v>
      </c>
      <c r="O16" s="12" t="s">
        <v>42</v>
      </c>
      <c r="P16" s="12" t="s">
        <v>43</v>
      </c>
      <c r="Q16" s="12">
        <v>0.1</v>
      </c>
      <c r="R16" s="12">
        <v>0.18888888888888891</v>
      </c>
      <c r="S16" s="12">
        <v>0.27777777777777779</v>
      </c>
      <c r="T16" s="12">
        <v>0.3666666666666667</v>
      </c>
      <c r="U16" s="12">
        <v>0.4555555555555556</v>
      </c>
      <c r="V16" s="12">
        <v>0.5444444444444444</v>
      </c>
      <c r="W16" s="12">
        <v>0.63333333333333341</v>
      </c>
      <c r="X16" s="12">
        <v>0.72222222222222221</v>
      </c>
      <c r="Y16" s="12">
        <v>0.81111111111111112</v>
      </c>
      <c r="Z16" s="12">
        <v>0.9</v>
      </c>
    </row>
    <row r="17" spans="2:26" x14ac:dyDescent="0.2">
      <c r="B17" s="7">
        <v>303.14999999999998</v>
      </c>
      <c r="C17" s="7">
        <f>B17-273.15</f>
        <v>30</v>
      </c>
      <c r="D17">
        <f t="shared" ref="D17:M17" si="0">D3*D10</f>
        <v>8.1562473096923043</v>
      </c>
      <c r="E17">
        <f t="shared" si="0"/>
        <v>6.4360959953404935</v>
      </c>
      <c r="F17">
        <f t="shared" si="0"/>
        <v>7.0744288316004109</v>
      </c>
      <c r="G17">
        <f t="shared" si="0"/>
        <v>8.612319771864593</v>
      </c>
      <c r="H17">
        <f t="shared" si="0"/>
        <v>10.88134644820788</v>
      </c>
      <c r="I17">
        <f t="shared" si="0"/>
        <v>11.88702405854773</v>
      </c>
      <c r="J17">
        <f t="shared" si="0"/>
        <v>11.154334778464179</v>
      </c>
      <c r="K17">
        <f t="shared" si="0"/>
        <v>10.33388031357539</v>
      </c>
      <c r="L17">
        <f t="shared" si="0"/>
        <v>9.8838063325315186</v>
      </c>
      <c r="M17">
        <f t="shared" si="0"/>
        <v>11.270601378380199</v>
      </c>
      <c r="O17" s="7">
        <v>303.14999999999998</v>
      </c>
      <c r="P17" s="7">
        <f>O17-273.15</f>
        <v>30</v>
      </c>
      <c r="Q17">
        <f>Q3*Q10</f>
        <v>131.69479181389124</v>
      </c>
      <c r="R17">
        <f t="shared" ref="Q17:Z17" si="1">R3*R10</f>
        <v>146.27590195958743</v>
      </c>
      <c r="S17">
        <f t="shared" si="1"/>
        <v>158.54433484159284</v>
      </c>
      <c r="T17">
        <f t="shared" si="1"/>
        <v>144.80091309276287</v>
      </c>
      <c r="U17">
        <f t="shared" si="1"/>
        <v>158.75962600674805</v>
      </c>
      <c r="V17">
        <f t="shared" si="1"/>
        <v>149.88469876118694</v>
      </c>
      <c r="W17">
        <f t="shared" si="1"/>
        <v>135.35717334795589</v>
      </c>
      <c r="X17">
        <f t="shared" si="1"/>
        <v>123.82301382019186</v>
      </c>
      <c r="Y17">
        <f t="shared" si="1"/>
        <v>111.76164971931817</v>
      </c>
      <c r="Z17">
        <f t="shared" si="1"/>
        <v>125.38616700300346</v>
      </c>
    </row>
    <row r="18" spans="2:26" x14ac:dyDescent="0.2">
      <c r="B18" s="7">
        <v>305.64999999999998</v>
      </c>
      <c r="C18" s="7">
        <f>B18-273.15</f>
        <v>32.5</v>
      </c>
      <c r="D18">
        <f t="shared" ref="D18:M18" si="2">D4*D11</f>
        <v>6.8661258163510297</v>
      </c>
      <c r="E18">
        <f t="shared" si="2"/>
        <v>6.881579680364398</v>
      </c>
      <c r="F18">
        <f t="shared" si="2"/>
        <v>7.2671091588208307</v>
      </c>
      <c r="G18">
        <f t="shared" si="2"/>
        <v>7.0623976161295854</v>
      </c>
      <c r="H18">
        <f t="shared" si="2"/>
        <v>8.5693734369868579</v>
      </c>
      <c r="I18">
        <f t="shared" si="2"/>
        <v>10.354350522069513</v>
      </c>
      <c r="J18">
        <f t="shared" si="2"/>
        <v>10.61986556899169</v>
      </c>
      <c r="K18">
        <f t="shared" si="2"/>
        <v>9.5737086372669236</v>
      </c>
      <c r="L18">
        <f t="shared" si="2"/>
        <v>9.2193586494932234</v>
      </c>
      <c r="M18">
        <f t="shared" si="2"/>
        <v>10.034143196159967</v>
      </c>
      <c r="O18" s="7">
        <v>305.64999999999998</v>
      </c>
      <c r="P18" s="7">
        <f>O18-273.15</f>
        <v>32.5</v>
      </c>
      <c r="Q18">
        <f t="shared" ref="Q18:Z18" si="3">Q4*Q11</f>
        <v>137.02173672390697</v>
      </c>
      <c r="R18">
        <f t="shared" si="3"/>
        <v>158.62081677162973</v>
      </c>
      <c r="S18">
        <f t="shared" si="3"/>
        <v>177.32246927292783</v>
      </c>
      <c r="T18">
        <f t="shared" si="3"/>
        <v>123.27897916737145</v>
      </c>
      <c r="U18">
        <f t="shared" si="3"/>
        <v>137.32409786297069</v>
      </c>
      <c r="V18">
        <f t="shared" si="3"/>
        <v>154.50139921512658</v>
      </c>
      <c r="W18">
        <f t="shared" si="3"/>
        <v>173.70615909160279</v>
      </c>
      <c r="X18">
        <f t="shared" si="3"/>
        <v>144.57270227061338</v>
      </c>
      <c r="Y18">
        <f t="shared" si="3"/>
        <v>98.049290054419771</v>
      </c>
      <c r="Z18">
        <f t="shared" si="3"/>
        <v>75.970915500477304</v>
      </c>
    </row>
    <row r="19" spans="2:26" x14ac:dyDescent="0.2">
      <c r="B19" s="7">
        <v>308.14999999999998</v>
      </c>
      <c r="C19" s="7">
        <f>B19-273.15</f>
        <v>35</v>
      </c>
      <c r="D19">
        <f t="shared" ref="D19:M19" si="4">D5*D12</f>
        <v>6.7473348063823551</v>
      </c>
      <c r="E19">
        <f t="shared" si="4"/>
        <v>6.2065758028751388</v>
      </c>
      <c r="F19">
        <f t="shared" si="4"/>
        <v>6.5642152694938876</v>
      </c>
      <c r="G19">
        <f t="shared" si="4"/>
        <v>6.5537985502617646</v>
      </c>
      <c r="H19">
        <f t="shared" si="4"/>
        <v>8.6813284205079988</v>
      </c>
      <c r="I19">
        <f t="shared" si="4"/>
        <v>10.740729979713722</v>
      </c>
      <c r="J19">
        <f t="shared" si="4"/>
        <v>10.520720908803231</v>
      </c>
      <c r="K19">
        <f t="shared" si="4"/>
        <v>9.9876261232503012</v>
      </c>
      <c r="L19">
        <f t="shared" si="4"/>
        <v>8.513240976158496</v>
      </c>
      <c r="M19">
        <f t="shared" si="4"/>
        <v>9.6430650081467526</v>
      </c>
      <c r="O19" s="7">
        <v>308.14999999999998</v>
      </c>
      <c r="P19" s="7">
        <f>O19-273.15</f>
        <v>35</v>
      </c>
      <c r="Q19">
        <f t="shared" ref="Q19:Z19" si="5">Q5*Q12</f>
        <v>141.28508164958004</v>
      </c>
      <c r="R19">
        <f t="shared" si="5"/>
        <v>157.2550353125396</v>
      </c>
      <c r="S19">
        <f t="shared" si="5"/>
        <v>156.74336551130173</v>
      </c>
      <c r="T19">
        <f t="shared" si="5"/>
        <v>145.09453585029948</v>
      </c>
      <c r="U19">
        <f t="shared" si="5"/>
        <v>203.24953887683003</v>
      </c>
      <c r="V19">
        <f t="shared" si="5"/>
        <v>161.10610856406834</v>
      </c>
      <c r="W19">
        <f t="shared" si="5"/>
        <v>166.06130725105533</v>
      </c>
      <c r="X19">
        <f t="shared" si="5"/>
        <v>209.65202252271385</v>
      </c>
      <c r="Y19">
        <f t="shared" si="5"/>
        <v>114.34328139550314</v>
      </c>
      <c r="Z19">
        <f t="shared" si="5"/>
        <v>110.70806641237603</v>
      </c>
    </row>
    <row r="20" spans="2:26" x14ac:dyDescent="0.2">
      <c r="B20" s="7">
        <v>311.14999999999998</v>
      </c>
      <c r="C20" s="7">
        <f>B20-273.15</f>
        <v>38</v>
      </c>
      <c r="D20">
        <f t="shared" ref="D20:M20" si="6">D6*D13</f>
        <v>6.5733660917677241</v>
      </c>
      <c r="E20">
        <f t="shared" si="6"/>
        <v>5.300110156875335</v>
      </c>
      <c r="F20">
        <f t="shared" si="6"/>
        <v>5.7599275705168411</v>
      </c>
      <c r="G20">
        <f t="shared" si="6"/>
        <v>7.4855733016638313</v>
      </c>
      <c r="H20">
        <f t="shared" si="6"/>
        <v>8.9904300568345832</v>
      </c>
      <c r="I20">
        <f t="shared" si="6"/>
        <v>9.9855328015694411</v>
      </c>
      <c r="J20">
        <f t="shared" si="6"/>
        <v>10.951236860502146</v>
      </c>
      <c r="K20">
        <f t="shared" si="6"/>
        <v>10.945877999542102</v>
      </c>
      <c r="L20">
        <f t="shared" si="6"/>
        <v>9.1093784293043534</v>
      </c>
      <c r="M20">
        <f t="shared" si="6"/>
        <v>10.062972950110558</v>
      </c>
      <c r="O20" s="7">
        <v>311.14999999999998</v>
      </c>
      <c r="P20" s="7">
        <f>O20-273.15</f>
        <v>38</v>
      </c>
      <c r="Q20">
        <f t="shared" ref="Q20:Z20" si="7">Q6*Q13</f>
        <v>129.38072991461414</v>
      </c>
      <c r="R20">
        <f t="shared" si="7"/>
        <v>143.94404016127299</v>
      </c>
      <c r="S20">
        <f t="shared" si="7"/>
        <v>144.07354508677395</v>
      </c>
      <c r="T20">
        <f t="shared" si="7"/>
        <v>176.17525331086685</v>
      </c>
      <c r="U20">
        <f t="shared" si="7"/>
        <v>189.2198803488269</v>
      </c>
      <c r="V20">
        <f t="shared" si="7"/>
        <v>146.3519198644471</v>
      </c>
      <c r="W20">
        <f t="shared" si="7"/>
        <v>159.33995510130902</v>
      </c>
      <c r="X20">
        <f t="shared" si="7"/>
        <v>117.45440303708851</v>
      </c>
      <c r="Y20">
        <f t="shared" si="7"/>
        <v>98.058217756363348</v>
      </c>
      <c r="Z20">
        <f t="shared" si="7"/>
        <v>120.30152066303609</v>
      </c>
    </row>
    <row r="22" spans="2:26" x14ac:dyDescent="0.2">
      <c r="B22" t="s">
        <v>41</v>
      </c>
      <c r="D22" t="s">
        <v>54</v>
      </c>
      <c r="O22" t="s">
        <v>4</v>
      </c>
      <c r="Q22" t="s">
        <v>54</v>
      </c>
    </row>
    <row r="23" spans="2:26" ht="16" x14ac:dyDescent="0.2">
      <c r="B23" s="6" t="s">
        <v>42</v>
      </c>
      <c r="C23" s="6" t="s">
        <v>43</v>
      </c>
      <c r="D23" s="6">
        <v>0.1</v>
      </c>
      <c r="E23" s="6">
        <v>0.18888888888888891</v>
      </c>
      <c r="F23" s="6">
        <v>0.27777777777777779</v>
      </c>
      <c r="G23" s="6">
        <v>0.3666666666666667</v>
      </c>
      <c r="H23" s="6">
        <v>0.4555555555555556</v>
      </c>
      <c r="I23" s="6">
        <v>0.5444444444444444</v>
      </c>
      <c r="J23" s="6">
        <v>0.63333333333333341</v>
      </c>
      <c r="K23" s="6">
        <v>0.72222222222222221</v>
      </c>
      <c r="L23" s="6">
        <v>0.81111111111111112</v>
      </c>
      <c r="M23" s="6">
        <v>0.9</v>
      </c>
      <c r="O23" s="6" t="s">
        <v>42</v>
      </c>
      <c r="P23" s="6" t="s">
        <v>43</v>
      </c>
      <c r="Q23" s="6">
        <v>0.1</v>
      </c>
      <c r="R23" s="6">
        <v>0.18888888888888891</v>
      </c>
      <c r="S23" s="6">
        <v>0.27777777777777779</v>
      </c>
      <c r="T23" s="6">
        <v>0.3666666666666667</v>
      </c>
      <c r="U23" s="6">
        <v>0.4555555555555556</v>
      </c>
      <c r="V23" s="6">
        <v>0.5444444444444444</v>
      </c>
      <c r="W23" s="6">
        <v>0.63333333333333341</v>
      </c>
      <c r="X23" s="6">
        <v>0.72222222222222221</v>
      </c>
      <c r="Y23" s="6">
        <v>0.81111111111111112</v>
      </c>
      <c r="Z23" s="6">
        <v>0.9</v>
      </c>
    </row>
    <row r="24" spans="2:26" x14ac:dyDescent="0.2">
      <c r="B24" s="7">
        <v>303.14999999999998</v>
      </c>
      <c r="C24" s="7">
        <f>B24-273.15</f>
        <v>30</v>
      </c>
      <c r="D24" s="13">
        <v>3.0263</v>
      </c>
      <c r="E24" s="13">
        <v>3.2180333331415998</v>
      </c>
      <c r="F24" s="13">
        <v>3.364888888766</v>
      </c>
      <c r="G24" s="13">
        <v>3.4939333332393998</v>
      </c>
      <c r="H24" s="13">
        <v>3.6106777777080001</v>
      </c>
      <c r="I24" s="13">
        <v>3.7337444443772001</v>
      </c>
      <c r="J24" s="13">
        <v>3.8540499999818749</v>
      </c>
      <c r="K24" s="13">
        <v>3.9507166666002091</v>
      </c>
      <c r="L24" s="13">
        <v>4.0404777777726002</v>
      </c>
      <c r="M24" s="13">
        <v>4.0818999999534</v>
      </c>
      <c r="O24" s="7">
        <v>303.14999999999998</v>
      </c>
      <c r="P24" s="7">
        <f>O24-273.15</f>
        <v>30</v>
      </c>
      <c r="Q24">
        <v>1.1866669999999999E-2</v>
      </c>
      <c r="R24">
        <v>8.99259E-3</v>
      </c>
      <c r="S24">
        <v>7.6740699999999998E-3</v>
      </c>
      <c r="T24">
        <v>6.9111099999999998E-3</v>
      </c>
      <c r="U24">
        <v>6.6481500000000002E-3</v>
      </c>
      <c r="V24">
        <v>6.6481500000000002E-3</v>
      </c>
      <c r="W24">
        <v>6.5277800000000004E-3</v>
      </c>
      <c r="X24">
        <v>6.1574100000000003E-3</v>
      </c>
      <c r="Y24">
        <v>5.9963000000000004E-3</v>
      </c>
      <c r="Z24">
        <v>7.3000000000000001E-3</v>
      </c>
    </row>
    <row r="25" spans="2:26" x14ac:dyDescent="0.2">
      <c r="B25" s="7">
        <v>305.64999999999998</v>
      </c>
      <c r="C25" s="7">
        <f>B25-273.15</f>
        <v>32.5</v>
      </c>
      <c r="D25" s="13">
        <v>3.0375999999999999</v>
      </c>
      <c r="E25" s="13">
        <v>3.2247999998128001</v>
      </c>
      <c r="F25" s="13">
        <v>3.3703111109889998</v>
      </c>
      <c r="G25" s="13">
        <v>3.4985333332400002</v>
      </c>
      <c r="H25" s="13">
        <v>3.6153111110410001</v>
      </c>
      <c r="I25" s="13">
        <v>3.7369555554899998</v>
      </c>
      <c r="J25" s="13">
        <v>3.8456333333066</v>
      </c>
      <c r="K25" s="13">
        <v>3.9292555555253998</v>
      </c>
      <c r="L25" s="13">
        <v>4.0400555555502997</v>
      </c>
      <c r="M25" s="13">
        <v>4.0820999999526997</v>
      </c>
      <c r="O25" s="7">
        <v>305.64999999999998</v>
      </c>
      <c r="P25" s="7">
        <f>O25-273.15</f>
        <v>32.5</v>
      </c>
      <c r="Q25">
        <v>1.09E-2</v>
      </c>
      <c r="R25">
        <v>6.4555599999999999E-3</v>
      </c>
      <c r="S25">
        <v>5.3814800000000001E-3</v>
      </c>
      <c r="T25">
        <v>5.0777799999999996E-3</v>
      </c>
      <c r="U25">
        <v>5.0000000000000001E-3</v>
      </c>
      <c r="V25">
        <v>5.0444399999999999E-3</v>
      </c>
      <c r="W25">
        <v>5.5111099999999996E-3</v>
      </c>
      <c r="X25">
        <v>6.4074099999999997E-3</v>
      </c>
      <c r="Y25">
        <v>6.5222199999999996E-3</v>
      </c>
      <c r="Z25">
        <v>5.3666699999999996E-3</v>
      </c>
    </row>
    <row r="26" spans="2:26" x14ac:dyDescent="0.2">
      <c r="B26" s="7">
        <v>308.14999999999998</v>
      </c>
      <c r="C26" s="7">
        <f>B26-273.15</f>
        <v>35</v>
      </c>
      <c r="D26" s="13">
        <v>3.0438999999999998</v>
      </c>
      <c r="E26" s="13">
        <v>3.2276333331495999</v>
      </c>
      <c r="F26" s="13">
        <v>3.3730999998775002</v>
      </c>
      <c r="G26" s="13">
        <v>3.5006999999074</v>
      </c>
      <c r="H26" s="13">
        <v>3.6166111110414998</v>
      </c>
      <c r="I26" s="13">
        <v>3.7375888888236002</v>
      </c>
      <c r="J26" s="13">
        <v>3.8456999999735002</v>
      </c>
      <c r="K26" s="13">
        <v>3.9286999999700001</v>
      </c>
      <c r="L26" s="13">
        <v>4.0391333333279</v>
      </c>
      <c r="M26" s="13">
        <v>4.0825999999510998</v>
      </c>
      <c r="O26" s="7">
        <v>308.14999999999998</v>
      </c>
      <c r="P26" s="7">
        <f>O26-273.15</f>
        <v>35</v>
      </c>
      <c r="Q26">
        <v>1.0200000000000001E-2</v>
      </c>
      <c r="R26">
        <v>7.9777800000000003E-3</v>
      </c>
      <c r="S26">
        <v>6.7925900000000003E-3</v>
      </c>
      <c r="T26">
        <v>6.1999999999999998E-3</v>
      </c>
      <c r="U26">
        <v>6.0333299999999999E-3</v>
      </c>
      <c r="V26">
        <v>5.4407400000000003E-3</v>
      </c>
      <c r="W26">
        <v>5.1000000000000004E-3</v>
      </c>
      <c r="X26">
        <v>5.7074099999999996E-3</v>
      </c>
      <c r="Y26">
        <v>5.0370399999999996E-3</v>
      </c>
      <c r="Z26">
        <v>5.0666699999999997E-3</v>
      </c>
    </row>
    <row r="27" spans="2:26" x14ac:dyDescent="0.2">
      <c r="B27" s="7">
        <v>311.14999999999998</v>
      </c>
      <c r="C27" s="7">
        <f>B27-273.15</f>
        <v>38</v>
      </c>
      <c r="D27" s="13">
        <v>3.0283000000000002</v>
      </c>
      <c r="E27" s="13">
        <v>3.2179888886992001</v>
      </c>
      <c r="F27" s="13">
        <v>3.3645888887659998</v>
      </c>
      <c r="G27" s="13">
        <v>3.4937666665726002</v>
      </c>
      <c r="H27" s="13">
        <v>3.6094666665980002</v>
      </c>
      <c r="I27" s="13">
        <v>3.7311555554888001</v>
      </c>
      <c r="J27" s="13">
        <v>3.8416999999728998</v>
      </c>
      <c r="K27" s="13">
        <v>3.9258333333033999</v>
      </c>
      <c r="L27" s="13">
        <v>4.0363222222164996</v>
      </c>
      <c r="M27" s="13">
        <v>4.0820999999484986</v>
      </c>
      <c r="O27" s="7">
        <v>311.14999999999998</v>
      </c>
      <c r="P27" s="7">
        <f>O27-273.15</f>
        <v>38</v>
      </c>
      <c r="Q27">
        <v>1.01E-2</v>
      </c>
      <c r="R27">
        <v>7.7592599999999996E-3</v>
      </c>
      <c r="S27">
        <v>6.6370400000000003E-3</v>
      </c>
      <c r="T27">
        <v>6.02222E-3</v>
      </c>
      <c r="U27">
        <v>5.7407400000000003E-3</v>
      </c>
      <c r="V27">
        <v>5.6666700000000004E-3</v>
      </c>
      <c r="W27">
        <v>5.31111E-3</v>
      </c>
      <c r="X27">
        <v>4.9111099999999998E-3</v>
      </c>
      <c r="Y27">
        <v>5.8592599999999998E-3</v>
      </c>
      <c r="Z27">
        <v>4.73333E-3</v>
      </c>
    </row>
  </sheetData>
  <pageMargins left="0.7" right="0.7" top="0.75" bottom="0.75" header="0.3" footer="0.3"/>
  <pageSetup orientation="portrait"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FDED6-0AB9-4501-B874-91C804664594}">
  <dimension ref="A1:I67"/>
  <sheetViews>
    <sheetView workbookViewId="0">
      <selection activeCell="C9" sqref="C9"/>
    </sheetView>
  </sheetViews>
  <sheetFormatPr baseColWidth="10" defaultColWidth="8.83203125" defaultRowHeight="15" x14ac:dyDescent="0.2"/>
  <sheetData>
    <row r="1" spans="1:9" x14ac:dyDescent="0.2">
      <c r="A1" t="s">
        <v>10</v>
      </c>
    </row>
    <row r="2" spans="1:9" ht="16" thickBot="1" x14ac:dyDescent="0.25"/>
    <row r="3" spans="1:9" x14ac:dyDescent="0.2">
      <c r="A3" s="4" t="s">
        <v>11</v>
      </c>
      <c r="B3" s="4"/>
    </row>
    <row r="4" spans="1:9" x14ac:dyDescent="0.2">
      <c r="A4" t="s">
        <v>12</v>
      </c>
      <c r="B4">
        <v>0.8806697178571995</v>
      </c>
    </row>
    <row r="5" spans="1:9" x14ac:dyDescent="0.2">
      <c r="A5" t="s">
        <v>13</v>
      </c>
      <c r="B5">
        <v>0.77557915195067939</v>
      </c>
    </row>
    <row r="6" spans="1:9" x14ac:dyDescent="0.2">
      <c r="A6" t="s">
        <v>14</v>
      </c>
      <c r="B6">
        <v>0.74157599315532785</v>
      </c>
    </row>
    <row r="7" spans="1:9" x14ac:dyDescent="0.2">
      <c r="A7" t="s">
        <v>15</v>
      </c>
      <c r="B7">
        <v>7.6303603345683456E-4</v>
      </c>
    </row>
    <row r="8" spans="1:9" ht="16" thickBot="1" x14ac:dyDescent="0.25">
      <c r="A8" s="2" t="s">
        <v>16</v>
      </c>
      <c r="B8" s="2">
        <v>39</v>
      </c>
    </row>
    <row r="10" spans="1:9" ht="16" thickBot="1" x14ac:dyDescent="0.25">
      <c r="A10" t="s">
        <v>17</v>
      </c>
    </row>
    <row r="11" spans="1:9" x14ac:dyDescent="0.2">
      <c r="A11" s="3"/>
      <c r="B11" s="3" t="s">
        <v>22</v>
      </c>
      <c r="C11" s="3" t="s">
        <v>23</v>
      </c>
      <c r="D11" s="3" t="s">
        <v>24</v>
      </c>
      <c r="E11" s="3" t="s">
        <v>25</v>
      </c>
      <c r="F11" s="3" t="s">
        <v>26</v>
      </c>
    </row>
    <row r="12" spans="1:9" x14ac:dyDescent="0.2">
      <c r="A12" t="s">
        <v>18</v>
      </c>
      <c r="B12">
        <v>5</v>
      </c>
      <c r="C12">
        <v>6.6399829182092182E-5</v>
      </c>
      <c r="D12">
        <v>1.3279965836418436E-5</v>
      </c>
      <c r="E12">
        <v>22.809032437795299</v>
      </c>
      <c r="F12">
        <v>7.7224884835039107E-10</v>
      </c>
    </row>
    <row r="13" spans="1:9" x14ac:dyDescent="0.2">
      <c r="A13" t="s">
        <v>19</v>
      </c>
      <c r="B13">
        <v>33</v>
      </c>
      <c r="C13">
        <v>1.9213391615666806E-5</v>
      </c>
      <c r="D13">
        <v>5.8222398835353958E-7</v>
      </c>
    </row>
    <row r="14" spans="1:9" ht="16" thickBot="1" x14ac:dyDescent="0.25">
      <c r="A14" s="2" t="s">
        <v>20</v>
      </c>
      <c r="B14" s="2">
        <v>38</v>
      </c>
      <c r="C14" s="2">
        <v>8.5613220797758991E-5</v>
      </c>
      <c r="D14" s="2"/>
      <c r="E14" s="2"/>
      <c r="F14" s="2"/>
    </row>
    <row r="15" spans="1:9" ht="16" thickBot="1" x14ac:dyDescent="0.25"/>
    <row r="16" spans="1:9" x14ac:dyDescent="0.2">
      <c r="A16" s="3"/>
      <c r="B16" s="3" t="s">
        <v>27</v>
      </c>
      <c r="C16" s="3" t="s">
        <v>15</v>
      </c>
      <c r="D16" s="3" t="s">
        <v>28</v>
      </c>
      <c r="E16" s="3" t="s">
        <v>29</v>
      </c>
      <c r="F16" s="3" t="s">
        <v>30</v>
      </c>
      <c r="G16" s="3" t="s">
        <v>31</v>
      </c>
      <c r="H16" s="3" t="s">
        <v>32</v>
      </c>
      <c r="I16" s="3" t="s">
        <v>33</v>
      </c>
    </row>
    <row r="17" spans="1:9" x14ac:dyDescent="0.2">
      <c r="A17" t="s">
        <v>21</v>
      </c>
      <c r="B17">
        <v>5.193718062559486E-2</v>
      </c>
      <c r="C17">
        <v>2.2988040372107096E-2</v>
      </c>
      <c r="D17">
        <v>2.2593130943259374</v>
      </c>
      <c r="E17">
        <v>3.05919279417377E-2</v>
      </c>
      <c r="F17">
        <v>5.1676608301599591E-3</v>
      </c>
      <c r="G17">
        <v>9.8706700421029761E-2</v>
      </c>
      <c r="H17">
        <v>5.1676608301599591E-3</v>
      </c>
      <c r="I17">
        <v>9.8706700421029761E-2</v>
      </c>
    </row>
    <row r="18" spans="1:9" x14ac:dyDescent="0.2">
      <c r="A18">
        <v>0.1</v>
      </c>
      <c r="B18">
        <v>-1.0122164475629452E-2</v>
      </c>
      <c r="C18">
        <v>7.0011106084346608E-3</v>
      </c>
      <c r="D18">
        <v>-1.4457941092138538</v>
      </c>
      <c r="E18">
        <v>0.15766596898729368</v>
      </c>
      <c r="F18">
        <v>-2.4366031107624621E-2</v>
      </c>
      <c r="G18">
        <v>4.1217021563657186E-3</v>
      </c>
      <c r="H18">
        <v>-2.4366031107624621E-2</v>
      </c>
      <c r="I18">
        <v>4.1217021563657186E-3</v>
      </c>
    </row>
    <row r="19" spans="1:9" x14ac:dyDescent="0.2">
      <c r="A19">
        <v>1.0000000000000002E-2</v>
      </c>
      <c r="B19">
        <v>1.4167036324112162E-2</v>
      </c>
      <c r="C19">
        <v>2.2097445281191548E-3</v>
      </c>
      <c r="D19">
        <v>6.4111647947695429</v>
      </c>
      <c r="E19">
        <v>2.8912489842890118E-7</v>
      </c>
      <c r="F19">
        <v>9.6712772781987685E-3</v>
      </c>
      <c r="G19">
        <v>1.8662795370025555E-2</v>
      </c>
      <c r="H19">
        <v>9.6712772781987685E-3</v>
      </c>
      <c r="I19">
        <v>1.8662795370025555E-2</v>
      </c>
    </row>
    <row r="20" spans="1:9" x14ac:dyDescent="0.2">
      <c r="A20">
        <v>30</v>
      </c>
      <c r="B20">
        <v>-2.4367140675054426E-3</v>
      </c>
      <c r="C20">
        <v>1.3518466625910999E-3</v>
      </c>
      <c r="D20">
        <v>-1.8025077362213293</v>
      </c>
      <c r="E20">
        <v>8.0605702885153035E-2</v>
      </c>
      <c r="F20">
        <v>-5.1870667823528714E-3</v>
      </c>
      <c r="G20">
        <v>3.136386473419862E-4</v>
      </c>
      <c r="H20">
        <v>-5.1870667823528714E-3</v>
      </c>
      <c r="I20">
        <v>3.136386473419862E-4</v>
      </c>
    </row>
    <row r="21" spans="1:9" x14ac:dyDescent="0.2">
      <c r="A21">
        <v>900</v>
      </c>
      <c r="B21">
        <v>3.6236216203322433E-5</v>
      </c>
      <c r="C21">
        <v>1.9976560816161644E-5</v>
      </c>
      <c r="D21">
        <v>1.8139366699199913</v>
      </c>
      <c r="E21">
        <v>7.8789529312572201E-2</v>
      </c>
      <c r="F21">
        <v>-4.4064023675854968E-6</v>
      </c>
      <c r="G21">
        <v>7.6878834774230363E-5</v>
      </c>
      <c r="H21">
        <v>-4.4064023675854968E-6</v>
      </c>
      <c r="I21">
        <v>7.6878834774230363E-5</v>
      </c>
    </row>
    <row r="22" spans="1:9" ht="16" thickBot="1" x14ac:dyDescent="0.25">
      <c r="A22" s="2">
        <v>3</v>
      </c>
      <c r="B22" s="2">
        <v>-2.4496254845492426E-4</v>
      </c>
      <c r="C22" s="2">
        <v>1.9276155447355049E-4</v>
      </c>
      <c r="D22" s="2">
        <v>-1.2708060438915814</v>
      </c>
      <c r="E22" s="2">
        <v>0.21268347934936735</v>
      </c>
      <c r="F22" s="2">
        <v>-6.3713887979147696E-4</v>
      </c>
      <c r="G22" s="2">
        <v>1.4721378288162844E-4</v>
      </c>
      <c r="H22" s="2">
        <v>-6.3713887979147696E-4</v>
      </c>
      <c r="I22" s="2">
        <v>1.4721378288162844E-4</v>
      </c>
    </row>
    <row r="26" spans="1:9" x14ac:dyDescent="0.2">
      <c r="A26" t="s">
        <v>34</v>
      </c>
    </row>
    <row r="27" spans="1:9" ht="16" thickBot="1" x14ac:dyDescent="0.25"/>
    <row r="28" spans="1:9" x14ac:dyDescent="0.2">
      <c r="A28" s="3" t="s">
        <v>35</v>
      </c>
      <c r="B28" s="3" t="s">
        <v>36</v>
      </c>
      <c r="C28" s="3" t="s">
        <v>37</v>
      </c>
    </row>
    <row r="29" spans="1:9" x14ac:dyDescent="0.2">
      <c r="A29">
        <v>1</v>
      </c>
      <c r="B29">
        <v>8.6537334038118887E-3</v>
      </c>
      <c r="C29">
        <v>3.3885659618811126E-4</v>
      </c>
    </row>
    <row r="30" spans="1:9" x14ac:dyDescent="0.2">
      <c r="A30">
        <v>2</v>
      </c>
      <c r="B30">
        <v>7.6884215641147176E-3</v>
      </c>
      <c r="C30">
        <v>-1.4351564114717733E-5</v>
      </c>
    </row>
    <row r="31" spans="1:9" x14ac:dyDescent="0.2">
      <c r="A31">
        <v>3</v>
      </c>
      <c r="B31">
        <v>6.9469839346436527E-3</v>
      </c>
      <c r="C31">
        <v>-3.5873934643652905E-5</v>
      </c>
    </row>
    <row r="32" spans="1:9" x14ac:dyDescent="0.2">
      <c r="A32">
        <v>4</v>
      </c>
      <c r="B32">
        <v>6.429420515398715E-3</v>
      </c>
      <c r="C32">
        <v>2.1872948460128529E-4</v>
      </c>
    </row>
    <row r="33" spans="1:3" x14ac:dyDescent="0.2">
      <c r="A33">
        <v>5</v>
      </c>
      <c r="B33">
        <v>6.1357315108511159E-3</v>
      </c>
      <c r="C33">
        <v>5.1241848914888432E-4</v>
      </c>
    </row>
    <row r="34" spans="1:3" x14ac:dyDescent="0.2">
      <c r="A34">
        <v>6</v>
      </c>
      <c r="B34">
        <v>6.0659162601999547E-3</v>
      </c>
      <c r="C34">
        <v>4.6186373980004573E-4</v>
      </c>
    </row>
    <row r="35" spans="1:3" x14ac:dyDescent="0.2">
      <c r="A35">
        <v>7</v>
      </c>
      <c r="B35">
        <v>6.2199752197749135E-3</v>
      </c>
      <c r="C35">
        <v>-6.2565219774913215E-5</v>
      </c>
    </row>
    <row r="36" spans="1:3" x14ac:dyDescent="0.2">
      <c r="A36">
        <v>8</v>
      </c>
      <c r="B36">
        <v>6.5979083895759847E-3</v>
      </c>
      <c r="C36">
        <v>-6.0160838957598432E-4</v>
      </c>
    </row>
    <row r="37" spans="1:3" x14ac:dyDescent="0.2">
      <c r="A37">
        <v>9</v>
      </c>
      <c r="B37">
        <v>7.1997157696031691E-3</v>
      </c>
      <c r="C37">
        <v>1.0028423039683092E-4</v>
      </c>
    </row>
    <row r="38" spans="1:3" x14ac:dyDescent="0.2">
      <c r="A38">
        <v>10</v>
      </c>
      <c r="B38">
        <v>9.3518024296269601E-3</v>
      </c>
      <c r="C38">
        <v>1.5481975703730399E-3</v>
      </c>
    </row>
    <row r="39" spans="1:3" x14ac:dyDescent="0.2">
      <c r="A39">
        <v>11</v>
      </c>
      <c r="B39">
        <v>8.1081802510202822E-3</v>
      </c>
      <c r="C39">
        <v>-1.6526202510202823E-3</v>
      </c>
    </row>
    <row r="40" spans="1:3" x14ac:dyDescent="0.2">
      <c r="A40">
        <v>12</v>
      </c>
      <c r="B40">
        <v>7.0884322826397237E-3</v>
      </c>
      <c r="C40">
        <v>-1.7069522826397236E-3</v>
      </c>
    </row>
    <row r="41" spans="1:3" x14ac:dyDescent="0.2">
      <c r="A41">
        <v>13</v>
      </c>
      <c r="B41">
        <v>6.2925585244852714E-3</v>
      </c>
      <c r="C41">
        <v>-1.2147785244852717E-3</v>
      </c>
    </row>
    <row r="42" spans="1:3" x14ac:dyDescent="0.2">
      <c r="A42">
        <v>14</v>
      </c>
      <c r="B42">
        <v>5.720558976556947E-3</v>
      </c>
      <c r="C42">
        <v>-7.205589765569469E-4</v>
      </c>
    </row>
    <row r="43" spans="1:3" x14ac:dyDescent="0.2">
      <c r="A43">
        <v>15</v>
      </c>
      <c r="B43">
        <v>5.3724339045665981E-3</v>
      </c>
      <c r="C43">
        <v>-3.2799390456659822E-4</v>
      </c>
    </row>
    <row r="44" spans="1:3" x14ac:dyDescent="0.2">
      <c r="A44">
        <v>16</v>
      </c>
      <c r="B44">
        <v>5.2481825252320502E-3</v>
      </c>
      <c r="C44">
        <v>2.6292747476794939E-4</v>
      </c>
    </row>
    <row r="45" spans="1:3" x14ac:dyDescent="0.2">
      <c r="A45">
        <v>17</v>
      </c>
      <c r="B45">
        <v>5.3478053561236199E-3</v>
      </c>
      <c r="C45">
        <v>1.0596046438763797E-3</v>
      </c>
    </row>
    <row r="46" spans="1:3" x14ac:dyDescent="0.2">
      <c r="A46">
        <v>18</v>
      </c>
      <c r="B46">
        <v>5.6713023972413045E-3</v>
      </c>
      <c r="C46">
        <v>8.5091760275869503E-4</v>
      </c>
    </row>
    <row r="47" spans="1:3" x14ac:dyDescent="0.2">
      <c r="A47">
        <v>19</v>
      </c>
      <c r="B47">
        <v>6.2186736485851015E-3</v>
      </c>
      <c r="C47">
        <v>-8.5200364858510191E-4</v>
      </c>
    </row>
    <row r="48" spans="1:3" x14ac:dyDescent="0.2">
      <c r="A48">
        <v>20</v>
      </c>
      <c r="B48">
        <v>9.3136381080602872E-3</v>
      </c>
      <c r="C48">
        <v>8.863618919397135E-4</v>
      </c>
    </row>
    <row r="49" spans="1:3" x14ac:dyDescent="0.2">
      <c r="A49">
        <v>21</v>
      </c>
      <c r="B49">
        <v>8.0155798007702211E-3</v>
      </c>
      <c r="C49">
        <v>-3.7799800770220784E-5</v>
      </c>
    </row>
    <row r="50" spans="1:3" x14ac:dyDescent="0.2">
      <c r="A50">
        <v>22</v>
      </c>
      <c r="B50">
        <v>6.9413957037062751E-3</v>
      </c>
      <c r="C50">
        <v>-1.4880570370627479E-4</v>
      </c>
    </row>
    <row r="51" spans="1:3" x14ac:dyDescent="0.2">
      <c r="A51">
        <v>23</v>
      </c>
      <c r="B51">
        <v>6.0910858168684362E-3</v>
      </c>
      <c r="C51">
        <v>1.0891418313156362E-4</v>
      </c>
    </row>
    <row r="52" spans="1:3" x14ac:dyDescent="0.2">
      <c r="A52">
        <v>24</v>
      </c>
      <c r="B52">
        <v>5.4646501402567244E-3</v>
      </c>
      <c r="C52">
        <v>5.6867985974327559E-4</v>
      </c>
    </row>
    <row r="53" spans="1:3" x14ac:dyDescent="0.2">
      <c r="A53">
        <v>25</v>
      </c>
      <c r="B53">
        <v>5.0620890008236255E-3</v>
      </c>
      <c r="C53">
        <v>3.7865099917637479E-4</v>
      </c>
    </row>
    <row r="54" spans="1:3" x14ac:dyDescent="0.2">
      <c r="A54">
        <v>26</v>
      </c>
      <c r="B54">
        <v>4.8834014928056894E-3</v>
      </c>
      <c r="C54">
        <v>2.1659850719431099E-4</v>
      </c>
    </row>
    <row r="55" spans="1:3" x14ac:dyDescent="0.2">
      <c r="A55">
        <v>27</v>
      </c>
      <c r="B55">
        <v>4.9285881950138725E-3</v>
      </c>
      <c r="C55">
        <v>7.7882180498612709E-4</v>
      </c>
    </row>
    <row r="56" spans="1:3" x14ac:dyDescent="0.2">
      <c r="A56">
        <v>28</v>
      </c>
      <c r="B56">
        <v>5.1976491074481697E-3</v>
      </c>
      <c r="C56">
        <v>-1.6060910744817008E-4</v>
      </c>
    </row>
    <row r="57" spans="1:3" x14ac:dyDescent="0.2">
      <c r="A57">
        <v>29</v>
      </c>
      <c r="B57">
        <v>5.6905842301085792E-3</v>
      </c>
      <c r="C57">
        <v>-6.2391423010857948E-4</v>
      </c>
    </row>
    <row r="58" spans="1:3" x14ac:dyDescent="0.2">
      <c r="A58">
        <v>30</v>
      </c>
      <c r="B58">
        <v>9.3136381080602872E-3</v>
      </c>
      <c r="C58">
        <v>7.8636189193971237E-4</v>
      </c>
    </row>
    <row r="59" spans="1:3" x14ac:dyDescent="0.2">
      <c r="A59">
        <v>31</v>
      </c>
      <c r="B59">
        <v>8.3759320530616913E-3</v>
      </c>
      <c r="C59">
        <v>-6.1667205306169173E-4</v>
      </c>
    </row>
    <row r="60" spans="1:3" x14ac:dyDescent="0.2">
      <c r="A60">
        <v>32</v>
      </c>
      <c r="B60">
        <v>7.2473118273143587E-3</v>
      </c>
      <c r="C60">
        <v>-6.1027182731435842E-4</v>
      </c>
    </row>
    <row r="61" spans="1:3" x14ac:dyDescent="0.2">
      <c r="A61">
        <v>33</v>
      </c>
      <c r="B61">
        <v>6.3425658117931324E-3</v>
      </c>
      <c r="C61">
        <v>-3.2034581179313237E-4</v>
      </c>
    </row>
    <row r="62" spans="1:3" x14ac:dyDescent="0.2">
      <c r="A62">
        <v>34</v>
      </c>
      <c r="B62">
        <v>5.6616940064980322E-3</v>
      </c>
      <c r="C62">
        <v>7.9045993501968004E-5</v>
      </c>
    </row>
    <row r="63" spans="1:3" x14ac:dyDescent="0.2">
      <c r="A63">
        <v>35</v>
      </c>
      <c r="B63">
        <v>5.2046967996221835E-3</v>
      </c>
      <c r="C63">
        <v>4.6197320037781684E-4</v>
      </c>
    </row>
    <row r="64" spans="1:3" x14ac:dyDescent="0.2">
      <c r="A64">
        <v>36</v>
      </c>
      <c r="B64">
        <v>4.9715731629208608E-3</v>
      </c>
      <c r="C64">
        <v>3.3953683707913917E-4</v>
      </c>
    </row>
    <row r="65" spans="1:3" x14ac:dyDescent="0.2">
      <c r="A65">
        <v>37</v>
      </c>
      <c r="B65">
        <v>4.9623237364456564E-3</v>
      </c>
      <c r="C65">
        <v>-5.1213736445656667E-5</v>
      </c>
    </row>
    <row r="66" spans="1:3" x14ac:dyDescent="0.2">
      <c r="A66">
        <v>38</v>
      </c>
      <c r="B66">
        <v>5.1769485201965662E-3</v>
      </c>
      <c r="C66">
        <v>6.8231147980343364E-4</v>
      </c>
    </row>
    <row r="67" spans="1:3" ht="16" thickBot="1" x14ac:dyDescent="0.25">
      <c r="A67" s="2">
        <v>39</v>
      </c>
      <c r="B67" s="2">
        <v>5.6154475141735882E-3</v>
      </c>
      <c r="C67" s="2">
        <v>-8.8211751417358823E-4</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DBC9F-7CB7-4C34-9C11-077AC4829A9A}">
  <dimension ref="A1:I22"/>
  <sheetViews>
    <sheetView workbookViewId="0">
      <selection activeCell="A16" sqref="A16:I23"/>
    </sheetView>
  </sheetViews>
  <sheetFormatPr baseColWidth="10" defaultColWidth="8.83203125" defaultRowHeight="15" x14ac:dyDescent="0.2"/>
  <sheetData>
    <row r="1" spans="1:9" x14ac:dyDescent="0.2">
      <c r="A1" t="s">
        <v>10</v>
      </c>
    </row>
    <row r="2" spans="1:9" ht="16" thickBot="1" x14ac:dyDescent="0.25"/>
    <row r="3" spans="1:9" x14ac:dyDescent="0.2">
      <c r="A3" s="4" t="s">
        <v>11</v>
      </c>
      <c r="B3" s="4"/>
    </row>
    <row r="4" spans="1:9" x14ac:dyDescent="0.2">
      <c r="A4" t="s">
        <v>12</v>
      </c>
      <c r="B4">
        <v>0.89894472249576751</v>
      </c>
    </row>
    <row r="5" spans="1:9" x14ac:dyDescent="0.2">
      <c r="A5" t="s">
        <v>13</v>
      </c>
      <c r="B5">
        <v>0.80810161410299242</v>
      </c>
    </row>
    <row r="6" spans="1:9" x14ac:dyDescent="0.2">
      <c r="A6" t="s">
        <v>14</v>
      </c>
      <c r="B6">
        <v>0.77988126323578544</v>
      </c>
    </row>
    <row r="7" spans="1:9" x14ac:dyDescent="0.2">
      <c r="A7" t="s">
        <v>15</v>
      </c>
      <c r="B7">
        <v>8.0360805741136172E-4</v>
      </c>
    </row>
    <row r="8" spans="1:9" ht="16" thickBot="1" x14ac:dyDescent="0.25">
      <c r="A8" s="2" t="s">
        <v>16</v>
      </c>
      <c r="B8" s="2">
        <v>40</v>
      </c>
    </row>
    <row r="10" spans="1:9" ht="16" thickBot="1" x14ac:dyDescent="0.25">
      <c r="A10" t="s">
        <v>17</v>
      </c>
    </row>
    <row r="11" spans="1:9" x14ac:dyDescent="0.2">
      <c r="A11" s="3"/>
      <c r="B11" s="3" t="s">
        <v>22</v>
      </c>
      <c r="C11" s="3" t="s">
        <v>23</v>
      </c>
      <c r="D11" s="3" t="s">
        <v>24</v>
      </c>
      <c r="E11" s="3" t="s">
        <v>25</v>
      </c>
      <c r="F11" s="3" t="s">
        <v>26</v>
      </c>
    </row>
    <row r="12" spans="1:9" x14ac:dyDescent="0.2">
      <c r="A12" t="s">
        <v>18</v>
      </c>
      <c r="B12">
        <v>5</v>
      </c>
      <c r="C12">
        <v>9.246175546156026E-5</v>
      </c>
      <c r="D12">
        <v>1.8492351092312051E-5</v>
      </c>
      <c r="E12">
        <v>28.635420512862346</v>
      </c>
      <c r="F12">
        <v>2.8192289654338705E-11</v>
      </c>
    </row>
    <row r="13" spans="1:9" x14ac:dyDescent="0.2">
      <c r="A13" t="s">
        <v>19</v>
      </c>
      <c r="B13">
        <v>34</v>
      </c>
      <c r="C13">
        <v>2.1956720937839722E-5</v>
      </c>
      <c r="D13">
        <v>6.4578590993646242E-7</v>
      </c>
    </row>
    <row r="14" spans="1:9" ht="16" thickBot="1" x14ac:dyDescent="0.25">
      <c r="A14" s="2" t="s">
        <v>20</v>
      </c>
      <c r="B14" s="2">
        <v>39</v>
      </c>
      <c r="C14" s="2">
        <v>1.1441847639939998E-4</v>
      </c>
      <c r="D14" s="2"/>
      <c r="E14" s="2"/>
      <c r="F14" s="2"/>
    </row>
    <row r="15" spans="1:9" ht="16" thickBot="1" x14ac:dyDescent="0.25"/>
    <row r="16" spans="1:9" x14ac:dyDescent="0.2">
      <c r="A16" s="3"/>
      <c r="B16" s="3" t="s">
        <v>27</v>
      </c>
      <c r="C16" s="3" t="s">
        <v>15</v>
      </c>
      <c r="D16" s="3" t="s">
        <v>28</v>
      </c>
      <c r="E16" s="3" t="s">
        <v>29</v>
      </c>
      <c r="F16" s="3" t="s">
        <v>30</v>
      </c>
      <c r="G16" s="3" t="s">
        <v>31</v>
      </c>
      <c r="H16" s="3" t="s">
        <v>32</v>
      </c>
      <c r="I16" s="3" t="s">
        <v>33</v>
      </c>
    </row>
    <row r="17" spans="1:9" x14ac:dyDescent="0.2">
      <c r="A17" t="s">
        <v>21</v>
      </c>
      <c r="B17">
        <v>6.5678238879385023E-2</v>
      </c>
      <c r="C17">
        <v>2.3274309738535812E-2</v>
      </c>
      <c r="D17">
        <v>2.8219199459496771</v>
      </c>
      <c r="E17">
        <v>7.9170482605520984E-3</v>
      </c>
      <c r="F17">
        <v>1.8379150705085702E-2</v>
      </c>
      <c r="G17">
        <v>0.11297732705368435</v>
      </c>
      <c r="H17">
        <v>1.8379150705085702E-2</v>
      </c>
      <c r="I17">
        <v>0.11297732705368435</v>
      </c>
    </row>
    <row r="18" spans="1:9" x14ac:dyDescent="0.2">
      <c r="A18" t="s">
        <v>2</v>
      </c>
      <c r="B18">
        <v>-1.6853330131130606E-2</v>
      </c>
      <c r="C18">
        <v>6.6106639077243004E-3</v>
      </c>
      <c r="D18">
        <v>-2.5494156663203151</v>
      </c>
      <c r="E18">
        <v>1.5470607493488327E-2</v>
      </c>
      <c r="F18">
        <v>-3.0287815560548131E-2</v>
      </c>
      <c r="G18">
        <v>-3.4188447017130807E-3</v>
      </c>
      <c r="H18">
        <v>-3.0287815560548131E-2</v>
      </c>
      <c r="I18">
        <v>-3.4188447017130807E-3</v>
      </c>
    </row>
    <row r="19" spans="1:9" x14ac:dyDescent="0.2">
      <c r="A19" t="s">
        <v>6</v>
      </c>
      <c r="B19">
        <v>1.5549765814956883E-2</v>
      </c>
      <c r="C19">
        <v>2.2284465571271697E-3</v>
      </c>
      <c r="D19">
        <v>6.9778500028302508</v>
      </c>
      <c r="E19">
        <v>4.7681395111562199E-8</v>
      </c>
      <c r="F19">
        <v>1.1021017534927218E-2</v>
      </c>
      <c r="G19">
        <v>2.0078514094986549E-2</v>
      </c>
      <c r="H19">
        <v>1.1021017534927218E-2</v>
      </c>
      <c r="I19">
        <v>2.0078514094986549E-2</v>
      </c>
    </row>
    <row r="20" spans="1:9" x14ac:dyDescent="0.2">
      <c r="A20" t="s">
        <v>7</v>
      </c>
      <c r="B20">
        <v>-3.1290675472169746E-3</v>
      </c>
      <c r="C20">
        <v>1.3835307076384743E-3</v>
      </c>
      <c r="D20">
        <v>-2.261653846887091</v>
      </c>
      <c r="E20">
        <v>3.0227947919215126E-2</v>
      </c>
      <c r="F20">
        <v>-5.9407402312877224E-3</v>
      </c>
      <c r="G20">
        <v>-3.1739486314622672E-4</v>
      </c>
      <c r="H20">
        <v>-5.9407402312877224E-3</v>
      </c>
      <c r="I20">
        <v>-3.1739486314622672E-4</v>
      </c>
    </row>
    <row r="21" spans="1:9" x14ac:dyDescent="0.2">
      <c r="A21" t="s">
        <v>8</v>
      </c>
      <c r="B21">
        <v>4.5022686340872777E-5</v>
      </c>
      <c r="C21">
        <v>2.0602318116223085E-5</v>
      </c>
      <c r="D21">
        <v>2.185321384073772</v>
      </c>
      <c r="E21">
        <v>3.5851335503607751E-2</v>
      </c>
      <c r="F21">
        <v>3.1537384699614388E-6</v>
      </c>
      <c r="G21">
        <v>8.6891634211784115E-5</v>
      </c>
      <c r="H21">
        <v>3.1537384699614388E-6</v>
      </c>
      <c r="I21">
        <v>8.6891634211784115E-5</v>
      </c>
    </row>
    <row r="22" spans="1:9" ht="16" thickBot="1" x14ac:dyDescent="0.25">
      <c r="A22" s="2" t="s">
        <v>9</v>
      </c>
      <c r="B22" s="2">
        <v>-9.5230582733218228E-5</v>
      </c>
      <c r="C22" s="2">
        <v>1.8956751637413361E-4</v>
      </c>
      <c r="D22" s="2">
        <v>-0.50235707337785429</v>
      </c>
      <c r="E22" s="2">
        <v>0.61865463155724221</v>
      </c>
      <c r="F22" s="2">
        <v>-4.8047812702954802E-4</v>
      </c>
      <c r="G22" s="2">
        <v>2.9001696156311161E-4</v>
      </c>
      <c r="H22" s="2">
        <v>-4.8047812702954802E-4</v>
      </c>
      <c r="I22" s="2">
        <v>2.9001696156311161E-4</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E881C-D07F-4663-8C45-5F973D38418E}">
  <dimension ref="A1:CV77"/>
  <sheetViews>
    <sheetView workbookViewId="0">
      <selection activeCell="J39" sqref="J39"/>
    </sheetView>
  </sheetViews>
  <sheetFormatPr baseColWidth="10" defaultColWidth="8.83203125" defaultRowHeight="15" x14ac:dyDescent="0.2"/>
  <sheetData>
    <row r="1" spans="1:100" ht="16" thickBot="1" x14ac:dyDescent="0.25">
      <c r="A1" s="1" t="s">
        <v>2</v>
      </c>
      <c r="B1" s="1" t="s">
        <v>6</v>
      </c>
      <c r="C1" s="1" t="s">
        <v>7</v>
      </c>
      <c r="D1" s="1" t="s">
        <v>8</v>
      </c>
      <c r="E1" s="1" t="s">
        <v>9</v>
      </c>
      <c r="F1" s="1" t="s">
        <v>4</v>
      </c>
      <c r="G1" s="1"/>
      <c r="H1" s="1"/>
      <c r="I1" s="1"/>
      <c r="J1" s="1"/>
      <c r="T1" t="s">
        <v>2</v>
      </c>
    </row>
    <row r="2" spans="1:100" x14ac:dyDescent="0.2">
      <c r="A2">
        <v>0.1</v>
      </c>
      <c r="B2">
        <f>A2*A2</f>
        <v>1.0000000000000002E-2</v>
      </c>
      <c r="C2">
        <v>30</v>
      </c>
      <c r="D2">
        <f>C2*C2</f>
        <v>900</v>
      </c>
      <c r="E2">
        <f>A2*C2</f>
        <v>3</v>
      </c>
      <c r="F2">
        <v>1.1866669999999999E-2</v>
      </c>
      <c r="G2" s="3"/>
      <c r="H2" s="3" t="s">
        <v>27</v>
      </c>
      <c r="I2" s="3" t="s">
        <v>15</v>
      </c>
      <c r="J2" s="3" t="s">
        <v>28</v>
      </c>
      <c r="K2" s="3" t="s">
        <v>29</v>
      </c>
      <c r="L2" s="3" t="s">
        <v>30</v>
      </c>
      <c r="M2" s="3" t="s">
        <v>31</v>
      </c>
      <c r="N2" s="3" t="s">
        <v>32</v>
      </c>
      <c r="O2" s="3" t="s">
        <v>33</v>
      </c>
      <c r="T2">
        <v>0.1</v>
      </c>
      <c r="U2">
        <v>0.11</v>
      </c>
      <c r="V2">
        <v>0.12</v>
      </c>
      <c r="W2">
        <v>0.13</v>
      </c>
      <c r="X2">
        <v>0.14000000000000001</v>
      </c>
      <c r="Y2">
        <v>0.15</v>
      </c>
      <c r="Z2">
        <v>0.16</v>
      </c>
      <c r="AA2">
        <v>0.17</v>
      </c>
      <c r="AB2">
        <v>0.18</v>
      </c>
      <c r="AC2">
        <v>0.19</v>
      </c>
      <c r="AD2">
        <v>0.2</v>
      </c>
      <c r="AE2">
        <v>0.21</v>
      </c>
      <c r="AF2">
        <v>0.22</v>
      </c>
      <c r="AG2">
        <v>0.23</v>
      </c>
      <c r="AH2">
        <v>0.24</v>
      </c>
      <c r="AI2">
        <v>0.25</v>
      </c>
      <c r="AJ2">
        <v>0.26</v>
      </c>
      <c r="AK2">
        <v>0.27</v>
      </c>
      <c r="AL2">
        <v>0.28000000000000003</v>
      </c>
      <c r="AM2">
        <v>0.28999999999999998</v>
      </c>
      <c r="AN2">
        <v>0.3</v>
      </c>
      <c r="AO2">
        <v>0.31</v>
      </c>
      <c r="AP2">
        <v>0.32</v>
      </c>
      <c r="AQ2">
        <v>0.33</v>
      </c>
      <c r="AR2">
        <v>0.34</v>
      </c>
      <c r="AS2">
        <v>0.35</v>
      </c>
      <c r="AT2">
        <v>0.36</v>
      </c>
      <c r="AU2">
        <v>0.37</v>
      </c>
      <c r="AV2">
        <v>0.38</v>
      </c>
      <c r="AW2">
        <v>0.39</v>
      </c>
      <c r="AX2">
        <v>0.4</v>
      </c>
      <c r="AY2">
        <v>0.41</v>
      </c>
      <c r="AZ2">
        <v>0.42</v>
      </c>
      <c r="BA2">
        <v>0.43</v>
      </c>
      <c r="BB2">
        <v>0.44</v>
      </c>
      <c r="BC2">
        <v>0.45</v>
      </c>
      <c r="BD2">
        <v>0.46</v>
      </c>
      <c r="BE2">
        <v>0.47</v>
      </c>
      <c r="BF2">
        <v>0.48</v>
      </c>
      <c r="BG2">
        <v>0.49</v>
      </c>
      <c r="BH2">
        <v>0.5</v>
      </c>
      <c r="BI2">
        <v>0.51</v>
      </c>
      <c r="BJ2">
        <v>0.52</v>
      </c>
      <c r="BK2">
        <v>0.53</v>
      </c>
      <c r="BL2">
        <v>0.54</v>
      </c>
      <c r="BM2">
        <v>0.55000000000000004</v>
      </c>
      <c r="BN2">
        <v>0.56000000000000005</v>
      </c>
      <c r="BO2">
        <v>0.56999999999999995</v>
      </c>
      <c r="BP2">
        <v>0.57999999999999996</v>
      </c>
      <c r="BQ2">
        <v>0.59</v>
      </c>
      <c r="BR2">
        <v>0.6</v>
      </c>
      <c r="BS2">
        <v>0.61</v>
      </c>
      <c r="BT2">
        <v>0.62</v>
      </c>
      <c r="BU2">
        <v>0.63</v>
      </c>
      <c r="BV2">
        <v>0.64</v>
      </c>
      <c r="BW2">
        <v>0.65</v>
      </c>
      <c r="BX2">
        <v>0.66</v>
      </c>
      <c r="BY2">
        <v>0.67</v>
      </c>
      <c r="BZ2">
        <v>0.68</v>
      </c>
      <c r="CA2">
        <v>0.69</v>
      </c>
      <c r="CB2">
        <v>0.7</v>
      </c>
      <c r="CC2">
        <v>0.71</v>
      </c>
      <c r="CD2">
        <v>0.72</v>
      </c>
      <c r="CE2">
        <v>0.73</v>
      </c>
      <c r="CF2">
        <v>0.74</v>
      </c>
      <c r="CG2">
        <v>0.75</v>
      </c>
      <c r="CH2">
        <v>0.76</v>
      </c>
      <c r="CI2">
        <v>0.77</v>
      </c>
      <c r="CJ2">
        <v>0.78</v>
      </c>
      <c r="CK2">
        <v>0.79</v>
      </c>
      <c r="CL2">
        <v>0.8</v>
      </c>
      <c r="CM2">
        <v>0.81</v>
      </c>
      <c r="CN2">
        <v>0.82</v>
      </c>
      <c r="CO2">
        <v>0.83</v>
      </c>
      <c r="CP2">
        <v>0.84</v>
      </c>
      <c r="CQ2">
        <v>0.85</v>
      </c>
      <c r="CR2">
        <v>0.86</v>
      </c>
      <c r="CS2">
        <v>0.87</v>
      </c>
      <c r="CT2">
        <v>0.88</v>
      </c>
      <c r="CU2">
        <v>0.89</v>
      </c>
      <c r="CV2">
        <v>0.9</v>
      </c>
    </row>
    <row r="3" spans="1:100" x14ac:dyDescent="0.2">
      <c r="A3">
        <v>0.1888889</v>
      </c>
      <c r="B3">
        <f t="shared" ref="B3:B41" si="0">A3*A3</f>
        <v>3.5679016543209999E-2</v>
      </c>
      <c r="C3">
        <v>30</v>
      </c>
      <c r="D3">
        <f t="shared" ref="D3:D41" si="1">C3*C3</f>
        <v>900</v>
      </c>
      <c r="E3">
        <f t="shared" ref="E3:E41" si="2">A3*C3</f>
        <v>5.6666670000000003</v>
      </c>
      <c r="F3">
        <v>8.99259E-3</v>
      </c>
      <c r="G3" t="s">
        <v>21</v>
      </c>
      <c r="H3">
        <v>6.5678238879385023E-2</v>
      </c>
      <c r="I3">
        <v>2.3274309738535812E-2</v>
      </c>
      <c r="J3">
        <v>2.8219199459496771</v>
      </c>
      <c r="K3">
        <v>7.9170482605520984E-3</v>
      </c>
      <c r="L3">
        <v>1.8379150705085702E-2</v>
      </c>
      <c r="M3">
        <v>0.11297732705368435</v>
      </c>
      <c r="N3">
        <v>1.8379150705085702E-2</v>
      </c>
      <c r="O3">
        <v>0.11297732705368435</v>
      </c>
      <c r="S3">
        <v>30</v>
      </c>
      <c r="T3">
        <f>$H$3+$H$4*T$2+$H$5*T$2*T$2+$H$6*$S3+$H$7*$S3*$S3+$H$8*T$2*$S3</f>
        <v>1.0511103066498132E-2</v>
      </c>
      <c r="U3">
        <f t="shared" ref="U3:CF6" si="3">$H$3+$H$4*U$2+$H$5*U$2*U$2+$H$6*$S3+$H$7*$S3*$S3+$H$8*U$2*$S3</f>
        <v>1.034665509857827E-2</v>
      </c>
      <c r="V3">
        <f t="shared" si="3"/>
        <v>1.01853170838214E-2</v>
      </c>
      <c r="W3">
        <f t="shared" si="3"/>
        <v>1.0027089022227527E-2</v>
      </c>
      <c r="X3">
        <f t="shared" si="3"/>
        <v>9.8719709137966467E-3</v>
      </c>
      <c r="Y3">
        <f t="shared" si="3"/>
        <v>9.7199627585287454E-3</v>
      </c>
      <c r="Z3">
        <f t="shared" si="3"/>
        <v>9.57106455642384E-3</v>
      </c>
      <c r="AA3">
        <f t="shared" si="3"/>
        <v>9.4252763074819147E-3</v>
      </c>
      <c r="AB3">
        <f t="shared" si="3"/>
        <v>9.2825980117029958E-3</v>
      </c>
      <c r="AC3">
        <f t="shared" si="3"/>
        <v>9.1430296690870726E-3</v>
      </c>
      <c r="AD3">
        <f t="shared" si="3"/>
        <v>9.0065712796341298E-3</v>
      </c>
      <c r="AE3">
        <f t="shared" si="3"/>
        <v>8.8732228433441793E-3</v>
      </c>
      <c r="AF3">
        <f t="shared" si="3"/>
        <v>8.7429843602172246E-3</v>
      </c>
      <c r="AG3">
        <f t="shared" si="3"/>
        <v>8.6158558302532641E-3</v>
      </c>
      <c r="AH3">
        <f t="shared" si="3"/>
        <v>8.4918372534522821E-3</v>
      </c>
      <c r="AI3">
        <f t="shared" si="3"/>
        <v>8.3709286298143028E-3</v>
      </c>
      <c r="AJ3">
        <f t="shared" si="3"/>
        <v>8.2531299593393108E-3</v>
      </c>
      <c r="AK3">
        <f t="shared" si="3"/>
        <v>8.1384412420273042E-3</v>
      </c>
      <c r="AL3">
        <f t="shared" si="3"/>
        <v>8.0268624778783004E-3</v>
      </c>
      <c r="AM3">
        <f t="shared" si="3"/>
        <v>7.9183936668922837E-3</v>
      </c>
      <c r="AN3">
        <f t="shared" si="3"/>
        <v>7.8130348090692525E-3</v>
      </c>
      <c r="AO3">
        <f t="shared" si="3"/>
        <v>7.7107859044092241E-3</v>
      </c>
      <c r="AP3">
        <f t="shared" si="3"/>
        <v>7.6116469529121829E-3</v>
      </c>
      <c r="AQ3">
        <f t="shared" si="3"/>
        <v>7.515617954578128E-3</v>
      </c>
      <c r="AR3">
        <f t="shared" si="3"/>
        <v>7.4226989094070672E-3</v>
      </c>
      <c r="AS3">
        <f t="shared" si="3"/>
        <v>7.3328898173989944E-3</v>
      </c>
      <c r="AT3">
        <f t="shared" si="3"/>
        <v>7.2461906785539218E-3</v>
      </c>
      <c r="AU3">
        <f t="shared" si="3"/>
        <v>7.1626014928718373E-3</v>
      </c>
      <c r="AV3">
        <f t="shared" si="3"/>
        <v>7.0821222603527391E-3</v>
      </c>
      <c r="AW3">
        <f t="shared" si="3"/>
        <v>7.004752980996635E-3</v>
      </c>
      <c r="AX3">
        <f t="shared" si="3"/>
        <v>6.930493654803525E-3</v>
      </c>
      <c r="AY3">
        <f t="shared" si="3"/>
        <v>6.8593442817734031E-3</v>
      </c>
      <c r="AZ3">
        <f t="shared" si="3"/>
        <v>6.7913048619062753E-3</v>
      </c>
      <c r="BA3">
        <f t="shared" si="3"/>
        <v>6.7263753952021338E-3</v>
      </c>
      <c r="BB3">
        <f t="shared" si="3"/>
        <v>6.6645558816609864E-3</v>
      </c>
      <c r="BC3">
        <f t="shared" si="3"/>
        <v>6.605846321282834E-3</v>
      </c>
      <c r="BD3">
        <f t="shared" si="3"/>
        <v>6.5502467140676679E-3</v>
      </c>
      <c r="BE3">
        <f t="shared" si="3"/>
        <v>6.4977570600154959E-3</v>
      </c>
      <c r="BF3">
        <f t="shared" si="3"/>
        <v>6.4483773591263189E-3</v>
      </c>
      <c r="BG3">
        <f t="shared" si="3"/>
        <v>6.4021076114001282E-3</v>
      </c>
      <c r="BH3">
        <f t="shared" si="3"/>
        <v>6.3589478168369247E-3</v>
      </c>
      <c r="BI3">
        <f t="shared" si="3"/>
        <v>6.3188979754367162E-3</v>
      </c>
      <c r="BJ3">
        <f t="shared" si="3"/>
        <v>6.2819580871995009E-3</v>
      </c>
      <c r="BK3">
        <f t="shared" si="3"/>
        <v>6.2481281521252797E-3</v>
      </c>
      <c r="BL3">
        <f t="shared" si="3"/>
        <v>6.2174081702140466E-3</v>
      </c>
      <c r="BM3">
        <f t="shared" si="3"/>
        <v>6.1897981414658068E-3</v>
      </c>
      <c r="BN3">
        <f t="shared" si="3"/>
        <v>6.1652980658805541E-3</v>
      </c>
      <c r="BO3">
        <f t="shared" si="3"/>
        <v>6.1439079434582964E-3</v>
      </c>
      <c r="BP3">
        <f t="shared" si="3"/>
        <v>6.1256277741990319E-3</v>
      </c>
      <c r="BQ3">
        <f t="shared" si="3"/>
        <v>6.1104575581027555E-3</v>
      </c>
      <c r="BR3">
        <f t="shared" si="3"/>
        <v>6.0983972951694655E-3</v>
      </c>
      <c r="BS3">
        <f t="shared" si="3"/>
        <v>6.0894469853991773E-3</v>
      </c>
      <c r="BT3">
        <f t="shared" si="3"/>
        <v>6.0836066287918754E-3</v>
      </c>
      <c r="BU3">
        <f t="shared" si="3"/>
        <v>6.0808762253475607E-3</v>
      </c>
      <c r="BV3">
        <f t="shared" si="3"/>
        <v>6.0812557750662402E-3</v>
      </c>
      <c r="BW3">
        <f t="shared" si="3"/>
        <v>6.0847452779479215E-3</v>
      </c>
      <c r="BX3">
        <f t="shared" si="3"/>
        <v>6.0913447339925823E-3</v>
      </c>
      <c r="BY3">
        <f t="shared" si="3"/>
        <v>6.1010541432002371E-3</v>
      </c>
      <c r="BZ3">
        <f t="shared" si="3"/>
        <v>6.1138735055708791E-3</v>
      </c>
      <c r="CA3">
        <f t="shared" si="3"/>
        <v>6.1298028211045231E-3</v>
      </c>
      <c r="CB3">
        <f t="shared" si="3"/>
        <v>6.1488420898011473E-3</v>
      </c>
      <c r="CC3">
        <f t="shared" si="3"/>
        <v>6.1709913116607716E-3</v>
      </c>
      <c r="CD3">
        <f t="shared" si="3"/>
        <v>6.1962504866833763E-3</v>
      </c>
      <c r="CE3">
        <f t="shared" si="3"/>
        <v>6.2246196148689897E-3</v>
      </c>
      <c r="CF3">
        <f t="shared" si="3"/>
        <v>6.2560986962175835E-3</v>
      </c>
      <c r="CG3">
        <f t="shared" ref="CG3:CV18" si="4">$H$3+$H$4*CG$2+$H$5*CG$2*CG$2+$H$6*$S3+$H$7*$S3*$S3+$H$8*CG$2*$S3</f>
        <v>6.2906877307291626E-3</v>
      </c>
      <c r="CH3">
        <f t="shared" si="4"/>
        <v>6.3283867184037446E-3</v>
      </c>
      <c r="CI3">
        <f t="shared" si="4"/>
        <v>6.3691956592413128E-3</v>
      </c>
      <c r="CJ3">
        <f t="shared" si="4"/>
        <v>6.4131145532418752E-3</v>
      </c>
      <c r="CK3">
        <f t="shared" si="4"/>
        <v>6.4601434004054256E-3</v>
      </c>
      <c r="CL3">
        <f t="shared" si="4"/>
        <v>6.5102822007319693E-3</v>
      </c>
      <c r="CM3">
        <f t="shared" si="4"/>
        <v>6.5635309542215001E-3</v>
      </c>
      <c r="CN3">
        <f t="shared" si="4"/>
        <v>6.619889660874026E-3</v>
      </c>
      <c r="CO3">
        <f t="shared" si="4"/>
        <v>6.6793583206895459E-3</v>
      </c>
      <c r="CP3">
        <f t="shared" si="4"/>
        <v>6.7419369336680452E-3</v>
      </c>
      <c r="CQ3">
        <f t="shared" si="4"/>
        <v>6.8076254998095526E-3</v>
      </c>
      <c r="CR3">
        <f t="shared" si="4"/>
        <v>6.876424019114041E-3</v>
      </c>
      <c r="CS3">
        <f t="shared" si="4"/>
        <v>6.9483324915815218E-3</v>
      </c>
      <c r="CT3">
        <f t="shared" si="4"/>
        <v>7.0233509172119984E-3</v>
      </c>
      <c r="CU3">
        <f t="shared" si="4"/>
        <v>7.1014792960054692E-3</v>
      </c>
      <c r="CV3">
        <f t="shared" si="4"/>
        <v>7.1827176279619194E-3</v>
      </c>
    </row>
    <row r="4" spans="1:100" x14ac:dyDescent="0.2">
      <c r="A4">
        <v>0.27777780000000002</v>
      </c>
      <c r="B4">
        <f t="shared" si="0"/>
        <v>7.716050617284001E-2</v>
      </c>
      <c r="C4">
        <v>30</v>
      </c>
      <c r="D4">
        <f t="shared" si="1"/>
        <v>900</v>
      </c>
      <c r="E4">
        <f t="shared" si="2"/>
        <v>8.3333340000000007</v>
      </c>
      <c r="F4">
        <v>7.6740699999999998E-3</v>
      </c>
      <c r="G4" t="s">
        <v>2</v>
      </c>
      <c r="H4">
        <v>-1.6853330131130606E-2</v>
      </c>
      <c r="I4">
        <v>6.6106639077243004E-3</v>
      </c>
      <c r="J4">
        <v>-2.5494156663203151</v>
      </c>
      <c r="K4">
        <v>1.5470607493488327E-2</v>
      </c>
      <c r="L4">
        <v>-3.0287815560548131E-2</v>
      </c>
      <c r="M4">
        <v>-3.4188447017130807E-3</v>
      </c>
      <c r="N4">
        <v>-3.0287815560548131E-2</v>
      </c>
      <c r="O4">
        <v>-3.4188447017130807E-3</v>
      </c>
      <c r="S4">
        <v>30.1</v>
      </c>
      <c r="T4">
        <f t="shared" ref="T4:AI26" si="5">$H$3+$H$4*T$2+$H$5*T$2*T$2+$H$6*$S4+$H$7*$S4*$S4+$H$8*T$2*$S4</f>
        <v>1.0467830350857743E-2</v>
      </c>
      <c r="U4">
        <f t="shared" si="3"/>
        <v>1.0303287152355147E-2</v>
      </c>
      <c r="V4">
        <f t="shared" si="3"/>
        <v>1.0141853907015545E-2</v>
      </c>
      <c r="W4">
        <f t="shared" si="3"/>
        <v>9.9835306148389376E-3</v>
      </c>
      <c r="X4">
        <f t="shared" si="3"/>
        <v>9.828317275825324E-3</v>
      </c>
      <c r="Y4">
        <f t="shared" si="3"/>
        <v>9.6762138899746906E-3</v>
      </c>
      <c r="Z4">
        <f t="shared" si="3"/>
        <v>9.5272204572870514E-3</v>
      </c>
      <c r="AA4">
        <f t="shared" si="3"/>
        <v>9.3813369777623924E-3</v>
      </c>
      <c r="AB4">
        <f t="shared" si="3"/>
        <v>9.2385634514007414E-3</v>
      </c>
      <c r="AC4">
        <f t="shared" si="3"/>
        <v>9.0988998782020845E-3</v>
      </c>
      <c r="AD4">
        <f t="shared" si="3"/>
        <v>8.9623462581664079E-3</v>
      </c>
      <c r="AE4">
        <f t="shared" si="3"/>
        <v>8.8289025912937254E-3</v>
      </c>
      <c r="AF4">
        <f t="shared" si="3"/>
        <v>8.698568877584037E-3</v>
      </c>
      <c r="AG4">
        <f t="shared" si="3"/>
        <v>8.5713451170373427E-3</v>
      </c>
      <c r="AH4">
        <f t="shared" si="3"/>
        <v>8.4472313096536286E-3</v>
      </c>
      <c r="AI4">
        <f t="shared" si="3"/>
        <v>8.3262274554329156E-3</v>
      </c>
      <c r="AJ4">
        <f t="shared" si="3"/>
        <v>8.2083335543751898E-3</v>
      </c>
      <c r="AK4">
        <f t="shared" si="3"/>
        <v>8.0935496064804512E-3</v>
      </c>
      <c r="AL4">
        <f t="shared" si="3"/>
        <v>7.9818756117487136E-3</v>
      </c>
      <c r="AM4">
        <f t="shared" si="3"/>
        <v>7.8733115701799632E-3</v>
      </c>
      <c r="AN4">
        <f t="shared" si="3"/>
        <v>7.7678574817741999E-3</v>
      </c>
      <c r="AO4">
        <f t="shared" si="3"/>
        <v>7.6655133465314378E-3</v>
      </c>
      <c r="AP4">
        <f t="shared" si="3"/>
        <v>7.5662791644516628E-3</v>
      </c>
      <c r="AQ4">
        <f t="shared" si="3"/>
        <v>7.4701549355348749E-3</v>
      </c>
      <c r="AR4">
        <f t="shared" si="3"/>
        <v>7.3771406597810812E-3</v>
      </c>
      <c r="AS4">
        <f t="shared" si="3"/>
        <v>7.2872363371902747E-3</v>
      </c>
      <c r="AT4">
        <f t="shared" si="3"/>
        <v>7.2004419677624693E-3</v>
      </c>
      <c r="AU4">
        <f t="shared" si="3"/>
        <v>7.116757551497651E-3</v>
      </c>
      <c r="AV4">
        <f t="shared" si="3"/>
        <v>7.0361830883958199E-3</v>
      </c>
      <c r="AW4">
        <f t="shared" si="3"/>
        <v>6.9587185784569829E-3</v>
      </c>
      <c r="AX4">
        <f t="shared" si="3"/>
        <v>6.88436402168114E-3</v>
      </c>
      <c r="AY4">
        <f t="shared" si="3"/>
        <v>6.8131194180682843E-3</v>
      </c>
      <c r="AZ4">
        <f t="shared" si="3"/>
        <v>6.7449847676184227E-3</v>
      </c>
      <c r="BA4">
        <f t="shared" si="3"/>
        <v>6.6799600703315483E-3</v>
      </c>
      <c r="BB4">
        <f t="shared" si="3"/>
        <v>6.618045326207668E-3</v>
      </c>
      <c r="BC4">
        <f t="shared" si="3"/>
        <v>6.5592405352467818E-3</v>
      </c>
      <c r="BD4">
        <f t="shared" si="3"/>
        <v>6.5035456974488828E-3</v>
      </c>
      <c r="BE4">
        <f t="shared" si="3"/>
        <v>6.450960812813978E-3</v>
      </c>
      <c r="BF4">
        <f t="shared" si="3"/>
        <v>6.4014858813420672E-3</v>
      </c>
      <c r="BG4">
        <f t="shared" si="3"/>
        <v>6.3551209030331436E-3</v>
      </c>
      <c r="BH4">
        <f t="shared" si="3"/>
        <v>6.3118658778872072E-3</v>
      </c>
      <c r="BI4">
        <f t="shared" si="3"/>
        <v>6.2717208059042649E-3</v>
      </c>
      <c r="BJ4">
        <f t="shared" si="3"/>
        <v>6.2346856870843168E-3</v>
      </c>
      <c r="BK4">
        <f t="shared" si="3"/>
        <v>6.2007605214273627E-3</v>
      </c>
      <c r="BL4">
        <f t="shared" si="3"/>
        <v>6.1699453089333958E-3</v>
      </c>
      <c r="BM4">
        <f t="shared" si="3"/>
        <v>6.1422400496024231E-3</v>
      </c>
      <c r="BN4">
        <f t="shared" si="3"/>
        <v>6.1176447434344375E-3</v>
      </c>
      <c r="BO4">
        <f t="shared" si="3"/>
        <v>6.096159390429446E-3</v>
      </c>
      <c r="BP4">
        <f t="shared" si="3"/>
        <v>6.0777839905874487E-3</v>
      </c>
      <c r="BQ4">
        <f t="shared" si="3"/>
        <v>6.0625185439084385E-3</v>
      </c>
      <c r="BR4">
        <f t="shared" si="3"/>
        <v>6.0503630503924155E-3</v>
      </c>
      <c r="BS4">
        <f t="shared" si="3"/>
        <v>6.0413175100393936E-3</v>
      </c>
      <c r="BT4">
        <f t="shared" si="3"/>
        <v>6.0353819228493588E-3</v>
      </c>
      <c r="BU4">
        <f t="shared" si="3"/>
        <v>6.0325562888223112E-3</v>
      </c>
      <c r="BV4">
        <f t="shared" si="3"/>
        <v>6.0328406079582578E-3</v>
      </c>
      <c r="BW4">
        <f t="shared" si="3"/>
        <v>6.0362348802572054E-3</v>
      </c>
      <c r="BX4">
        <f t="shared" si="3"/>
        <v>6.0427391057191323E-3</v>
      </c>
      <c r="BY4">
        <f t="shared" si="3"/>
        <v>6.0523532843440543E-3</v>
      </c>
      <c r="BZ4">
        <f t="shared" si="3"/>
        <v>6.0650774161319643E-3</v>
      </c>
      <c r="CA4">
        <f t="shared" si="3"/>
        <v>6.0809115010828745E-3</v>
      </c>
      <c r="CB4">
        <f t="shared" si="3"/>
        <v>6.0998555391967649E-3</v>
      </c>
      <c r="CC4">
        <f t="shared" si="3"/>
        <v>6.1219095304736564E-3</v>
      </c>
      <c r="CD4">
        <f t="shared" si="3"/>
        <v>6.1470734749135281E-3</v>
      </c>
      <c r="CE4">
        <f t="shared" si="3"/>
        <v>6.1753473725164078E-3</v>
      </c>
      <c r="CF4">
        <f t="shared" si="3"/>
        <v>6.2067312232822677E-3</v>
      </c>
      <c r="CG4">
        <f t="shared" si="4"/>
        <v>6.2412250272111149E-3</v>
      </c>
      <c r="CH4">
        <f t="shared" si="4"/>
        <v>6.278828784302963E-3</v>
      </c>
      <c r="CI4">
        <f t="shared" si="4"/>
        <v>6.3195424945577984E-3</v>
      </c>
      <c r="CJ4">
        <f t="shared" si="4"/>
        <v>6.3633661579756279E-3</v>
      </c>
      <c r="CK4">
        <f t="shared" si="4"/>
        <v>6.4102997745564445E-3</v>
      </c>
      <c r="CL4">
        <f t="shared" si="4"/>
        <v>6.4603433443002553E-3</v>
      </c>
      <c r="CM4">
        <f t="shared" si="4"/>
        <v>6.5134968672070533E-3</v>
      </c>
      <c r="CN4">
        <f t="shared" si="4"/>
        <v>6.5697603432768453E-3</v>
      </c>
      <c r="CO4">
        <f t="shared" si="4"/>
        <v>6.6291337725096315E-3</v>
      </c>
      <c r="CP4">
        <f t="shared" si="4"/>
        <v>6.6916171549053979E-3</v>
      </c>
      <c r="CQ4">
        <f t="shared" si="4"/>
        <v>6.7572104904641724E-3</v>
      </c>
      <c r="CR4">
        <f t="shared" si="4"/>
        <v>6.825913779185927E-3</v>
      </c>
      <c r="CS4">
        <f t="shared" si="4"/>
        <v>6.8977270210706758E-3</v>
      </c>
      <c r="CT4">
        <f t="shared" si="4"/>
        <v>6.9726502161184187E-3</v>
      </c>
      <c r="CU4">
        <f t="shared" si="4"/>
        <v>7.0506833643291557E-3</v>
      </c>
      <c r="CV4">
        <f t="shared" si="4"/>
        <v>7.1318264657028729E-3</v>
      </c>
    </row>
    <row r="5" spans="1:100" x14ac:dyDescent="0.2">
      <c r="A5">
        <v>0.36666670000000001</v>
      </c>
      <c r="B5">
        <f t="shared" si="0"/>
        <v>0.13444446888889</v>
      </c>
      <c r="C5">
        <v>30</v>
      </c>
      <c r="D5">
        <f t="shared" si="1"/>
        <v>900</v>
      </c>
      <c r="E5">
        <f t="shared" si="2"/>
        <v>11.000001000000001</v>
      </c>
      <c r="F5">
        <v>6.9111099999999998E-3</v>
      </c>
      <c r="G5" t="s">
        <v>6</v>
      </c>
      <c r="H5">
        <v>1.5549765814956883E-2</v>
      </c>
      <c r="I5">
        <v>2.2284465571271697E-3</v>
      </c>
      <c r="J5">
        <v>6.9778500028302508</v>
      </c>
      <c r="K5">
        <v>4.7681395111562199E-8</v>
      </c>
      <c r="L5">
        <v>1.1021017534927218E-2</v>
      </c>
      <c r="M5">
        <v>2.0078514094986549E-2</v>
      </c>
      <c r="N5">
        <v>1.1021017534927218E-2</v>
      </c>
      <c r="O5">
        <v>2.0078514094986549E-2</v>
      </c>
      <c r="S5">
        <v>30.2</v>
      </c>
      <c r="T5">
        <f t="shared" si="5"/>
        <v>1.0425458088944179E-2</v>
      </c>
      <c r="U5">
        <f t="shared" si="3"/>
        <v>1.0260819659858849E-2</v>
      </c>
      <c r="V5">
        <f t="shared" si="3"/>
        <v>1.0099291183936515E-2</v>
      </c>
      <c r="W5">
        <f t="shared" si="3"/>
        <v>9.9408726611771737E-3</v>
      </c>
      <c r="X5">
        <f t="shared" si="3"/>
        <v>9.7855640915808263E-3</v>
      </c>
      <c r="Y5">
        <f t="shared" si="3"/>
        <v>9.6333654751474609E-3</v>
      </c>
      <c r="Z5">
        <f t="shared" si="3"/>
        <v>9.4842768118770879E-3</v>
      </c>
      <c r="AA5">
        <f t="shared" si="3"/>
        <v>9.3382981017696952E-3</v>
      </c>
      <c r="AB5">
        <f t="shared" si="3"/>
        <v>9.1954293448253122E-3</v>
      </c>
      <c r="AC5">
        <f t="shared" si="3"/>
        <v>9.0556705410439215E-3</v>
      </c>
      <c r="AD5">
        <f t="shared" si="3"/>
        <v>8.9190216904255111E-3</v>
      </c>
      <c r="AE5">
        <f t="shared" si="3"/>
        <v>8.7854827929700965E-3</v>
      </c>
      <c r="AF5">
        <f t="shared" si="3"/>
        <v>8.6550538486776744E-3</v>
      </c>
      <c r="AG5">
        <f t="shared" si="3"/>
        <v>8.5277348575482463E-3</v>
      </c>
      <c r="AH5">
        <f t="shared" si="3"/>
        <v>8.4035258195818002E-3</v>
      </c>
      <c r="AI5">
        <f t="shared" si="3"/>
        <v>8.2824267347783535E-3</v>
      </c>
      <c r="AJ5">
        <f t="shared" si="3"/>
        <v>8.1644376031378939E-3</v>
      </c>
      <c r="AK5">
        <f t="shared" si="3"/>
        <v>8.0495584246604215E-3</v>
      </c>
      <c r="AL5">
        <f t="shared" si="3"/>
        <v>7.9377891993459519E-3</v>
      </c>
      <c r="AM5">
        <f t="shared" si="3"/>
        <v>7.8291299271944677E-3</v>
      </c>
      <c r="AN5">
        <f t="shared" si="3"/>
        <v>7.7235806082059716E-3</v>
      </c>
      <c r="AO5">
        <f t="shared" si="3"/>
        <v>7.6211412423804765E-3</v>
      </c>
      <c r="AP5">
        <f t="shared" si="3"/>
        <v>7.5218118297179677E-3</v>
      </c>
      <c r="AQ5">
        <f t="shared" si="3"/>
        <v>7.425592370218447E-3</v>
      </c>
      <c r="AR5">
        <f t="shared" si="3"/>
        <v>7.3324828638819195E-3</v>
      </c>
      <c r="AS5">
        <f t="shared" si="3"/>
        <v>7.2424833107083801E-3</v>
      </c>
      <c r="AT5">
        <f t="shared" si="3"/>
        <v>7.1555937106978417E-3</v>
      </c>
      <c r="AU5">
        <f t="shared" si="3"/>
        <v>7.0718140638502906E-3</v>
      </c>
      <c r="AV5">
        <f t="shared" si="3"/>
        <v>6.9911443701657257E-3</v>
      </c>
      <c r="AW5">
        <f t="shared" si="3"/>
        <v>6.9135846296441549E-3</v>
      </c>
      <c r="AX5">
        <f t="shared" si="3"/>
        <v>6.8391348422855791E-3</v>
      </c>
      <c r="AY5">
        <f t="shared" si="3"/>
        <v>6.7677950080899905E-3</v>
      </c>
      <c r="AZ5">
        <f t="shared" si="3"/>
        <v>6.6995651270573952E-3</v>
      </c>
      <c r="BA5">
        <f t="shared" si="3"/>
        <v>6.6344451991877879E-3</v>
      </c>
      <c r="BB5">
        <f t="shared" si="3"/>
        <v>6.5724352244811747E-3</v>
      </c>
      <c r="BC5">
        <f t="shared" si="3"/>
        <v>6.5135352029375548E-3</v>
      </c>
      <c r="BD5">
        <f t="shared" si="3"/>
        <v>6.4577451345569229E-3</v>
      </c>
      <c r="BE5">
        <f t="shared" si="3"/>
        <v>6.4050650193392851E-3</v>
      </c>
      <c r="BF5">
        <f t="shared" si="3"/>
        <v>6.3554948572846406E-3</v>
      </c>
      <c r="BG5">
        <f t="shared" si="3"/>
        <v>6.3090346483929841E-3</v>
      </c>
      <c r="BH5">
        <f t="shared" si="3"/>
        <v>6.2656843926643148E-3</v>
      </c>
      <c r="BI5">
        <f t="shared" si="3"/>
        <v>6.2254440900986387E-3</v>
      </c>
      <c r="BJ5">
        <f t="shared" si="3"/>
        <v>6.1883137406959577E-3</v>
      </c>
      <c r="BK5">
        <f t="shared" si="3"/>
        <v>6.1542933444562698E-3</v>
      </c>
      <c r="BL5">
        <f t="shared" si="3"/>
        <v>6.1233829013795701E-3</v>
      </c>
      <c r="BM5">
        <f t="shared" si="3"/>
        <v>6.0955824114658635E-3</v>
      </c>
      <c r="BN5">
        <f t="shared" si="3"/>
        <v>6.0708918747151451E-3</v>
      </c>
      <c r="BO5">
        <f t="shared" si="3"/>
        <v>6.0493112911274207E-3</v>
      </c>
      <c r="BP5">
        <f t="shared" si="3"/>
        <v>6.0308406607026896E-3</v>
      </c>
      <c r="BQ5">
        <f t="shared" si="3"/>
        <v>6.0154799834409465E-3</v>
      </c>
      <c r="BR5">
        <f t="shared" si="3"/>
        <v>6.0032292593421906E-3</v>
      </c>
      <c r="BS5">
        <f t="shared" si="3"/>
        <v>5.9940884884064349E-3</v>
      </c>
      <c r="BT5">
        <f t="shared" si="3"/>
        <v>5.9880576706336673E-3</v>
      </c>
      <c r="BU5">
        <f t="shared" si="3"/>
        <v>5.9851368060238868E-3</v>
      </c>
      <c r="BV5">
        <f t="shared" si="3"/>
        <v>5.9853258945770996E-3</v>
      </c>
      <c r="BW5">
        <f t="shared" si="3"/>
        <v>5.9886249362933143E-3</v>
      </c>
      <c r="BX5">
        <f t="shared" si="3"/>
        <v>5.9950339311725083E-3</v>
      </c>
      <c r="BY5">
        <f t="shared" si="3"/>
        <v>6.0045528792146974E-3</v>
      </c>
      <c r="BZ5">
        <f t="shared" si="3"/>
        <v>6.0171817804198727E-3</v>
      </c>
      <c r="CA5">
        <f t="shared" si="3"/>
        <v>6.0329206347880509E-3</v>
      </c>
      <c r="CB5">
        <f t="shared" si="3"/>
        <v>6.0517694423192075E-3</v>
      </c>
      <c r="CC5">
        <f t="shared" si="3"/>
        <v>6.0737282030133661E-3</v>
      </c>
      <c r="CD5">
        <f t="shared" si="3"/>
        <v>6.0987969168705049E-3</v>
      </c>
      <c r="CE5">
        <f t="shared" si="3"/>
        <v>6.1269755838906509E-3</v>
      </c>
      <c r="CF5">
        <f t="shared" si="3"/>
        <v>6.1582642040737779E-3</v>
      </c>
      <c r="CG5">
        <f t="shared" si="4"/>
        <v>6.1926627774198913E-3</v>
      </c>
      <c r="CH5">
        <f t="shared" si="4"/>
        <v>6.2301713039290066E-3</v>
      </c>
      <c r="CI5">
        <f t="shared" si="4"/>
        <v>6.2707897836011082E-3</v>
      </c>
      <c r="CJ5">
        <f t="shared" si="4"/>
        <v>6.3145182164362048E-3</v>
      </c>
      <c r="CK5">
        <f t="shared" si="4"/>
        <v>6.3613566024342885E-3</v>
      </c>
      <c r="CL5">
        <f t="shared" si="4"/>
        <v>6.4113049415953655E-3</v>
      </c>
      <c r="CM5">
        <f t="shared" si="4"/>
        <v>6.4643632339194306E-3</v>
      </c>
      <c r="CN5">
        <f t="shared" si="4"/>
        <v>6.5205314794064897E-3</v>
      </c>
      <c r="CO5">
        <f t="shared" si="4"/>
        <v>6.5798096780565422E-3</v>
      </c>
      <c r="CP5">
        <f t="shared" si="4"/>
        <v>6.6421978298695757E-3</v>
      </c>
      <c r="CQ5">
        <f t="shared" si="4"/>
        <v>6.7076959348456172E-3</v>
      </c>
      <c r="CR5">
        <f t="shared" si="4"/>
        <v>6.7763039929846381E-3</v>
      </c>
      <c r="CS5">
        <f t="shared" si="4"/>
        <v>6.8480220042866531E-3</v>
      </c>
      <c r="CT5">
        <f t="shared" si="4"/>
        <v>6.9228499687516631E-3</v>
      </c>
      <c r="CU5">
        <f t="shared" si="4"/>
        <v>7.0007878863796672E-3</v>
      </c>
      <c r="CV5">
        <f t="shared" si="4"/>
        <v>7.0818357571706507E-3</v>
      </c>
    </row>
    <row r="6" spans="1:100" x14ac:dyDescent="0.2">
      <c r="A6">
        <v>0.4555556</v>
      </c>
      <c r="B6">
        <f t="shared" si="0"/>
        <v>0.20753090469136001</v>
      </c>
      <c r="C6">
        <v>30</v>
      </c>
      <c r="D6">
        <f t="shared" si="1"/>
        <v>900</v>
      </c>
      <c r="E6">
        <f t="shared" si="2"/>
        <v>13.666668</v>
      </c>
      <c r="F6">
        <v>6.6481500000000002E-3</v>
      </c>
      <c r="G6" t="s">
        <v>7</v>
      </c>
      <c r="H6">
        <v>-3.1290675472169746E-3</v>
      </c>
      <c r="I6">
        <v>1.3835307076384743E-3</v>
      </c>
      <c r="J6">
        <v>-2.261653846887091</v>
      </c>
      <c r="K6">
        <v>3.0227947919215126E-2</v>
      </c>
      <c r="L6">
        <v>-5.9407402312877224E-3</v>
      </c>
      <c r="M6">
        <v>-3.1739486314622672E-4</v>
      </c>
      <c r="N6">
        <v>-5.9407402312877224E-3</v>
      </c>
      <c r="O6">
        <v>-3.1739486314622672E-4</v>
      </c>
      <c r="S6">
        <v>30.3</v>
      </c>
      <c r="T6">
        <f t="shared" si="5"/>
        <v>1.0383986280757426E-2</v>
      </c>
      <c r="U6">
        <f t="shared" si="3"/>
        <v>1.0219252621089364E-2</v>
      </c>
      <c r="V6">
        <f t="shared" si="3"/>
        <v>1.0057628914584296E-2</v>
      </c>
      <c r="W6">
        <f t="shared" si="3"/>
        <v>9.899115161242221E-3</v>
      </c>
      <c r="X6">
        <f t="shared" si="3"/>
        <v>9.7437113610631416E-3</v>
      </c>
      <c r="Y6">
        <f t="shared" si="3"/>
        <v>9.5914175140470407E-3</v>
      </c>
      <c r="Z6">
        <f t="shared" si="3"/>
        <v>9.4422336201939357E-3</v>
      </c>
      <c r="AA6">
        <f t="shared" si="3"/>
        <v>9.2961596795038109E-3</v>
      </c>
      <c r="AB6">
        <f t="shared" si="3"/>
        <v>9.1531956919766923E-3</v>
      </c>
      <c r="AC6">
        <f t="shared" si="3"/>
        <v>9.0133416576125697E-3</v>
      </c>
      <c r="AD6">
        <f t="shared" si="3"/>
        <v>8.8765975764114272E-3</v>
      </c>
      <c r="AE6">
        <f t="shared" si="3"/>
        <v>8.7429634483732772E-3</v>
      </c>
      <c r="AF6">
        <f t="shared" si="3"/>
        <v>8.612439273498123E-3</v>
      </c>
      <c r="AG6">
        <f t="shared" si="3"/>
        <v>8.4850250517859611E-3</v>
      </c>
      <c r="AH6">
        <f t="shared" si="3"/>
        <v>8.3607207832367813E-3</v>
      </c>
      <c r="AI6">
        <f t="shared" si="3"/>
        <v>8.2395264678506025E-3</v>
      </c>
      <c r="AJ6">
        <f t="shared" si="3"/>
        <v>8.1214421056274091E-3</v>
      </c>
      <c r="AK6">
        <f t="shared" si="3"/>
        <v>8.0064676965672047E-3</v>
      </c>
      <c r="AL6">
        <f t="shared" si="3"/>
        <v>7.8946032406700013E-3</v>
      </c>
      <c r="AM6">
        <f t="shared" si="3"/>
        <v>7.7858487379357834E-3</v>
      </c>
      <c r="AN6">
        <f t="shared" si="3"/>
        <v>7.6802041883645544E-3</v>
      </c>
      <c r="AO6">
        <f t="shared" si="3"/>
        <v>7.5776695919563255E-3</v>
      </c>
      <c r="AP6">
        <f t="shared" si="3"/>
        <v>7.4782449487110839E-3</v>
      </c>
      <c r="AQ6">
        <f t="shared" si="3"/>
        <v>7.3819302586288294E-3</v>
      </c>
      <c r="AR6">
        <f t="shared" si="3"/>
        <v>7.2887255217095699E-3</v>
      </c>
      <c r="AS6">
        <f t="shared" si="3"/>
        <v>7.1986307379532967E-3</v>
      </c>
      <c r="AT6">
        <f t="shared" si="3"/>
        <v>7.1116459073600254E-3</v>
      </c>
      <c r="AU6">
        <f t="shared" si="3"/>
        <v>7.0277710299297405E-3</v>
      </c>
      <c r="AV6">
        <f t="shared" si="3"/>
        <v>6.9470061056624427E-3</v>
      </c>
      <c r="AW6">
        <f t="shared" si="3"/>
        <v>6.869351134558139E-3</v>
      </c>
      <c r="AX6">
        <f t="shared" si="3"/>
        <v>6.7948061166168295E-3</v>
      </c>
      <c r="AY6">
        <f t="shared" si="3"/>
        <v>6.723371051838508E-3</v>
      </c>
      <c r="AZ6">
        <f t="shared" si="3"/>
        <v>6.6550459402231798E-3</v>
      </c>
      <c r="BA6">
        <f t="shared" si="3"/>
        <v>6.5898307817708387E-3</v>
      </c>
      <c r="BB6">
        <f t="shared" si="3"/>
        <v>6.5277255764814917E-3</v>
      </c>
      <c r="BC6">
        <f t="shared" si="3"/>
        <v>6.4687303243551389E-3</v>
      </c>
      <c r="BD6">
        <f t="shared" si="3"/>
        <v>6.4128450253917741E-3</v>
      </c>
      <c r="BE6">
        <f t="shared" si="3"/>
        <v>6.3600696795914026E-3</v>
      </c>
      <c r="BF6">
        <f t="shared" si="3"/>
        <v>6.3104042869540251E-3</v>
      </c>
      <c r="BG6">
        <f t="shared" si="3"/>
        <v>6.2638488474796358E-3</v>
      </c>
      <c r="BH6">
        <f t="shared" si="3"/>
        <v>6.2204033611682327E-3</v>
      </c>
      <c r="BI6">
        <f t="shared" si="3"/>
        <v>6.1800678280198237E-3</v>
      </c>
      <c r="BJ6">
        <f t="shared" si="3"/>
        <v>6.1428422480344098E-3</v>
      </c>
      <c r="BK6">
        <f t="shared" si="3"/>
        <v>6.1087266212119891E-3</v>
      </c>
      <c r="BL6">
        <f t="shared" si="3"/>
        <v>6.0777209475525555E-3</v>
      </c>
      <c r="BM6">
        <f t="shared" si="3"/>
        <v>6.0498252270561161E-3</v>
      </c>
      <c r="BN6">
        <f t="shared" si="3"/>
        <v>6.0250394597226638E-3</v>
      </c>
      <c r="BO6">
        <f t="shared" si="3"/>
        <v>6.0033636455522066E-3</v>
      </c>
      <c r="BP6">
        <f t="shared" si="3"/>
        <v>5.9847977845447426E-3</v>
      </c>
      <c r="BQ6">
        <f t="shared" si="3"/>
        <v>5.9693418767002657E-3</v>
      </c>
      <c r="BR6">
        <f t="shared" si="3"/>
        <v>5.956995922018777E-3</v>
      </c>
      <c r="BS6">
        <f t="shared" si="3"/>
        <v>5.9477599205002884E-3</v>
      </c>
      <c r="BT6">
        <f t="shared" si="3"/>
        <v>5.9416338721447869E-3</v>
      </c>
      <c r="BU6">
        <f t="shared" si="3"/>
        <v>5.9386177769522727E-3</v>
      </c>
      <c r="BV6">
        <f t="shared" si="3"/>
        <v>5.9387116349227526E-3</v>
      </c>
      <c r="BW6">
        <f t="shared" si="3"/>
        <v>5.9419154460562344E-3</v>
      </c>
      <c r="BX6">
        <f t="shared" si="3"/>
        <v>5.9482292103526955E-3</v>
      </c>
      <c r="BY6">
        <f t="shared" si="3"/>
        <v>5.9576529278121508E-3</v>
      </c>
      <c r="BZ6">
        <f t="shared" si="3"/>
        <v>5.9701865984345941E-3</v>
      </c>
      <c r="CA6">
        <f t="shared" si="3"/>
        <v>5.9858302222200377E-3</v>
      </c>
      <c r="CB6">
        <f t="shared" si="3"/>
        <v>6.0045837991684614E-3</v>
      </c>
      <c r="CC6">
        <f t="shared" si="3"/>
        <v>6.0264473292798871E-3</v>
      </c>
      <c r="CD6">
        <f t="shared" si="3"/>
        <v>6.0514208125542921E-3</v>
      </c>
      <c r="CE6">
        <f t="shared" si="3"/>
        <v>6.0795042489917052E-3</v>
      </c>
      <c r="CF6">
        <f t="shared" ref="U6:CF10" si="6">$H$3+$H$4*CF$2+$H$5*CF$2*CF$2+$H$6*$S6+$H$7*$S6*$S6+$H$8*CF$2*$S6</f>
        <v>6.1106976385920993E-3</v>
      </c>
      <c r="CG6">
        <f t="shared" si="4"/>
        <v>6.1450009813554789E-3</v>
      </c>
      <c r="CH6">
        <f t="shared" si="4"/>
        <v>6.1824142772818613E-3</v>
      </c>
      <c r="CI6">
        <f t="shared" si="4"/>
        <v>6.2229375263712292E-3</v>
      </c>
      <c r="CJ6">
        <f t="shared" si="4"/>
        <v>6.2665707286235928E-3</v>
      </c>
      <c r="CK6">
        <f t="shared" si="4"/>
        <v>6.3133138840389428E-3</v>
      </c>
      <c r="CL6">
        <f t="shared" si="4"/>
        <v>6.3631669926172869E-3</v>
      </c>
      <c r="CM6">
        <f t="shared" si="4"/>
        <v>6.4161300543586191E-3</v>
      </c>
      <c r="CN6">
        <f t="shared" si="4"/>
        <v>6.4722030692629454E-3</v>
      </c>
      <c r="CO6">
        <f t="shared" si="4"/>
        <v>6.5313860373302649E-3</v>
      </c>
      <c r="CP6">
        <f t="shared" si="4"/>
        <v>6.5936789585605646E-3</v>
      </c>
      <c r="CQ6">
        <f t="shared" si="4"/>
        <v>6.6590818329538724E-3</v>
      </c>
      <c r="CR6">
        <f t="shared" si="4"/>
        <v>6.7275946605101604E-3</v>
      </c>
      <c r="CS6">
        <f t="shared" si="4"/>
        <v>6.7992174412294434E-3</v>
      </c>
      <c r="CT6">
        <f t="shared" si="4"/>
        <v>6.8739501751117187E-3</v>
      </c>
      <c r="CU6">
        <f t="shared" si="4"/>
        <v>6.9517928621569899E-3</v>
      </c>
      <c r="CV6">
        <f t="shared" si="4"/>
        <v>7.0327455023652405E-3</v>
      </c>
    </row>
    <row r="7" spans="1:100" x14ac:dyDescent="0.2">
      <c r="A7">
        <v>0.54444440000000005</v>
      </c>
      <c r="B7">
        <f t="shared" si="0"/>
        <v>0.29641970469136003</v>
      </c>
      <c r="C7">
        <v>30</v>
      </c>
      <c r="D7">
        <f t="shared" si="1"/>
        <v>900</v>
      </c>
      <c r="E7">
        <f t="shared" si="2"/>
        <v>16.333332000000002</v>
      </c>
      <c r="F7">
        <v>6.6481500000000002E-3</v>
      </c>
      <c r="G7" t="s">
        <v>8</v>
      </c>
      <c r="H7">
        <v>4.5022686340872777E-5</v>
      </c>
      <c r="I7">
        <v>2.0602318116223085E-5</v>
      </c>
      <c r="J7">
        <v>2.185321384073772</v>
      </c>
      <c r="K7">
        <v>3.5851335503607751E-2</v>
      </c>
      <c r="L7">
        <v>3.1537384699614388E-6</v>
      </c>
      <c r="M7">
        <v>8.6891634211784115E-5</v>
      </c>
      <c r="N7">
        <v>3.1537384699614388E-6</v>
      </c>
      <c r="O7">
        <v>8.6891634211784115E-5</v>
      </c>
      <c r="S7">
        <v>30.4</v>
      </c>
      <c r="T7">
        <f t="shared" si="5"/>
        <v>1.0343414926297497E-2</v>
      </c>
      <c r="U7">
        <f t="shared" si="6"/>
        <v>1.0178586036046702E-2</v>
      </c>
      <c r="V7">
        <f t="shared" si="6"/>
        <v>1.0016867098958901E-2</v>
      </c>
      <c r="W7">
        <f t="shared" si="6"/>
        <v>9.8582581150340933E-3</v>
      </c>
      <c r="X7">
        <f t="shared" si="6"/>
        <v>9.7027590842722802E-3</v>
      </c>
      <c r="Y7">
        <f t="shared" si="6"/>
        <v>9.5503700066734473E-3</v>
      </c>
      <c r="Z7">
        <f t="shared" si="6"/>
        <v>9.4010908822376085E-3</v>
      </c>
      <c r="AA7">
        <f t="shared" si="6"/>
        <v>9.2549217109647499E-3</v>
      </c>
      <c r="AB7">
        <f t="shared" si="6"/>
        <v>9.1118624928548993E-3</v>
      </c>
      <c r="AC7">
        <f t="shared" si="6"/>
        <v>8.9719132279080429E-3</v>
      </c>
      <c r="AD7">
        <f t="shared" si="6"/>
        <v>8.8350739161241667E-3</v>
      </c>
      <c r="AE7">
        <f t="shared" si="6"/>
        <v>8.7013445575032846E-3</v>
      </c>
      <c r="AF7">
        <f t="shared" si="6"/>
        <v>8.5707251520453966E-3</v>
      </c>
      <c r="AG7">
        <f t="shared" si="6"/>
        <v>8.4432156997505028E-3</v>
      </c>
      <c r="AH7">
        <f t="shared" si="6"/>
        <v>8.3188162006185892E-3</v>
      </c>
      <c r="AI7">
        <f t="shared" si="6"/>
        <v>8.1975266546496766E-3</v>
      </c>
      <c r="AJ7">
        <f t="shared" si="6"/>
        <v>8.0793470618437512E-3</v>
      </c>
      <c r="AK7">
        <f t="shared" si="6"/>
        <v>7.9642774222008113E-3</v>
      </c>
      <c r="AL7">
        <f t="shared" si="6"/>
        <v>7.8523177357208741E-3</v>
      </c>
      <c r="AM7">
        <f t="shared" si="6"/>
        <v>7.743468002403925E-3</v>
      </c>
      <c r="AN7">
        <f t="shared" si="6"/>
        <v>7.6377282222499622E-3</v>
      </c>
      <c r="AO7">
        <f t="shared" si="6"/>
        <v>7.5350983952590005E-3</v>
      </c>
      <c r="AP7">
        <f t="shared" si="6"/>
        <v>7.4355785214310251E-3</v>
      </c>
      <c r="AQ7">
        <f t="shared" si="6"/>
        <v>7.3391686007660377E-3</v>
      </c>
      <c r="AR7">
        <f t="shared" si="6"/>
        <v>7.2458686332640444E-3</v>
      </c>
      <c r="AS7">
        <f t="shared" si="6"/>
        <v>7.1556786189250383E-3</v>
      </c>
      <c r="AT7">
        <f t="shared" si="6"/>
        <v>7.0685985577490333E-3</v>
      </c>
      <c r="AU7">
        <f t="shared" si="6"/>
        <v>6.9846284497360155E-3</v>
      </c>
      <c r="AV7">
        <f t="shared" si="6"/>
        <v>6.9037682948859848E-3</v>
      </c>
      <c r="AW7">
        <f t="shared" si="6"/>
        <v>6.8260180931989482E-3</v>
      </c>
      <c r="AX7">
        <f t="shared" si="6"/>
        <v>6.7513778446749058E-3</v>
      </c>
      <c r="AY7">
        <f t="shared" si="6"/>
        <v>6.6798475493138505E-3</v>
      </c>
      <c r="AZ7">
        <f t="shared" si="6"/>
        <v>6.6114272071157894E-3</v>
      </c>
      <c r="BA7">
        <f t="shared" si="6"/>
        <v>6.5461168180807145E-3</v>
      </c>
      <c r="BB7">
        <f t="shared" si="6"/>
        <v>6.4839163822086347E-3</v>
      </c>
      <c r="BC7">
        <f t="shared" si="6"/>
        <v>6.424825899499549E-3</v>
      </c>
      <c r="BD7">
        <f t="shared" si="6"/>
        <v>6.3688453699534504E-3</v>
      </c>
      <c r="BE7">
        <f t="shared" si="6"/>
        <v>6.315974793570346E-3</v>
      </c>
      <c r="BF7">
        <f t="shared" si="6"/>
        <v>6.2662141703502356E-3</v>
      </c>
      <c r="BG7">
        <f t="shared" si="6"/>
        <v>6.2195635002931125E-3</v>
      </c>
      <c r="BH7">
        <f t="shared" si="6"/>
        <v>6.1760227833989757E-3</v>
      </c>
      <c r="BI7">
        <f t="shared" si="6"/>
        <v>6.1355920196678338E-3</v>
      </c>
      <c r="BJ7">
        <f t="shared" si="6"/>
        <v>6.0982712090996861E-3</v>
      </c>
      <c r="BK7">
        <f t="shared" si="6"/>
        <v>6.0640603516945325E-3</v>
      </c>
      <c r="BL7">
        <f t="shared" si="6"/>
        <v>6.032959447452366E-3</v>
      </c>
      <c r="BM7">
        <f t="shared" si="6"/>
        <v>6.0049684963731937E-3</v>
      </c>
      <c r="BN7">
        <f t="shared" si="6"/>
        <v>5.9800874984570086E-3</v>
      </c>
      <c r="BO7">
        <f t="shared" si="6"/>
        <v>5.9583164537038175E-3</v>
      </c>
      <c r="BP7">
        <f t="shared" si="6"/>
        <v>5.9396553621136206E-3</v>
      </c>
      <c r="BQ7">
        <f t="shared" si="6"/>
        <v>5.9241042236864109E-3</v>
      </c>
      <c r="BR7">
        <f t="shared" si="6"/>
        <v>5.9116630384221883E-3</v>
      </c>
      <c r="BS7">
        <f t="shared" si="6"/>
        <v>5.9023318063209668E-3</v>
      </c>
      <c r="BT7">
        <f t="shared" si="6"/>
        <v>5.8961105273827325E-3</v>
      </c>
      <c r="BU7">
        <f t="shared" si="6"/>
        <v>5.8929992016074845E-3</v>
      </c>
      <c r="BV7">
        <f t="shared" si="6"/>
        <v>5.8929978289952315E-3</v>
      </c>
      <c r="BW7">
        <f t="shared" si="6"/>
        <v>5.8961064095459795E-3</v>
      </c>
      <c r="BX7">
        <f t="shared" si="6"/>
        <v>5.9023249432597069E-3</v>
      </c>
      <c r="BY7">
        <f t="shared" si="6"/>
        <v>5.9116534301364293E-3</v>
      </c>
      <c r="BZ7">
        <f t="shared" si="6"/>
        <v>5.9240918701761389E-3</v>
      </c>
      <c r="CA7">
        <f t="shared" si="6"/>
        <v>5.9396402633788495E-3</v>
      </c>
      <c r="CB7">
        <f t="shared" si="6"/>
        <v>5.9582986097445403E-3</v>
      </c>
      <c r="CC7">
        <f t="shared" si="6"/>
        <v>5.9800669092732323E-3</v>
      </c>
      <c r="CD7">
        <f t="shared" si="6"/>
        <v>6.0049451619649044E-3</v>
      </c>
      <c r="CE7">
        <f t="shared" si="6"/>
        <v>6.0329333678195846E-3</v>
      </c>
      <c r="CF7">
        <f t="shared" si="6"/>
        <v>6.0640315268372449E-3</v>
      </c>
      <c r="CG7">
        <f t="shared" si="4"/>
        <v>6.0982396390178925E-3</v>
      </c>
      <c r="CH7">
        <f t="shared" si="4"/>
        <v>6.1355577043615411E-3</v>
      </c>
      <c r="CI7">
        <f t="shared" si="4"/>
        <v>6.1759857228681769E-3</v>
      </c>
      <c r="CJ7">
        <f t="shared" si="4"/>
        <v>6.2195236945378068E-3</v>
      </c>
      <c r="CK7">
        <f t="shared" si="4"/>
        <v>6.2661716193704239E-3</v>
      </c>
      <c r="CL7">
        <f t="shared" si="4"/>
        <v>6.3159294973660343E-3</v>
      </c>
      <c r="CM7">
        <f t="shared" si="4"/>
        <v>6.3687973285246327E-3</v>
      </c>
      <c r="CN7">
        <f t="shared" si="4"/>
        <v>6.424775112846226E-3</v>
      </c>
      <c r="CO7">
        <f t="shared" si="4"/>
        <v>6.4838628503308127E-3</v>
      </c>
      <c r="CP7">
        <f t="shared" si="4"/>
        <v>6.5460605409783795E-3</v>
      </c>
      <c r="CQ7">
        <f t="shared" si="4"/>
        <v>6.6113681847889526E-3</v>
      </c>
      <c r="CR7">
        <f t="shared" si="4"/>
        <v>6.6797857817625077E-3</v>
      </c>
      <c r="CS7">
        <f t="shared" si="4"/>
        <v>6.751313331899057E-3</v>
      </c>
      <c r="CT7">
        <f t="shared" si="4"/>
        <v>6.8259508351986003E-3</v>
      </c>
      <c r="CU7">
        <f t="shared" si="4"/>
        <v>6.9036982916611377E-3</v>
      </c>
      <c r="CV7">
        <f t="shared" si="4"/>
        <v>6.9845557012866554E-3</v>
      </c>
    </row>
    <row r="8" spans="1:100" ht="16" thickBot="1" x14ac:dyDescent="0.25">
      <c r="A8">
        <v>0.63333329999999999</v>
      </c>
      <c r="B8">
        <f t="shared" si="0"/>
        <v>0.40111106888888998</v>
      </c>
      <c r="C8">
        <v>30</v>
      </c>
      <c r="D8">
        <f t="shared" si="1"/>
        <v>900</v>
      </c>
      <c r="E8">
        <f t="shared" si="2"/>
        <v>18.999998999999999</v>
      </c>
      <c r="F8">
        <v>6.5277800000000004E-3</v>
      </c>
      <c r="G8" s="2" t="s">
        <v>9</v>
      </c>
      <c r="H8" s="2">
        <v>-9.5230582733218228E-5</v>
      </c>
      <c r="I8" s="2">
        <v>1.8956751637413361E-4</v>
      </c>
      <c r="J8" s="2">
        <v>-0.50235707337785429</v>
      </c>
      <c r="K8" s="2">
        <v>0.61865463155724221</v>
      </c>
      <c r="L8" s="2">
        <v>-4.8047812702954802E-4</v>
      </c>
      <c r="M8" s="2">
        <v>2.9001696156311161E-4</v>
      </c>
      <c r="N8" s="2">
        <v>-4.8047812702954802E-4</v>
      </c>
      <c r="O8" s="2">
        <v>2.9001696156311161E-4</v>
      </c>
      <c r="S8">
        <v>30.5</v>
      </c>
      <c r="T8">
        <f t="shared" si="5"/>
        <v>1.0303744025564382E-2</v>
      </c>
      <c r="U8">
        <f t="shared" si="6"/>
        <v>1.0138819904730853E-2</v>
      </c>
      <c r="V8">
        <f t="shared" si="6"/>
        <v>9.9770057370603179E-3</v>
      </c>
      <c r="W8">
        <f t="shared" si="6"/>
        <v>9.8183015225527769E-3</v>
      </c>
      <c r="X8">
        <f t="shared" si="6"/>
        <v>9.6627072612082317E-3</v>
      </c>
      <c r="Y8">
        <f t="shared" si="6"/>
        <v>9.510222953026665E-3</v>
      </c>
      <c r="Z8">
        <f t="shared" si="6"/>
        <v>9.3608485980080924E-3</v>
      </c>
      <c r="AA8">
        <f t="shared" si="6"/>
        <v>9.2145841961525001E-3</v>
      </c>
      <c r="AB8">
        <f t="shared" si="6"/>
        <v>9.0714297474599175E-3</v>
      </c>
      <c r="AC8">
        <f t="shared" si="6"/>
        <v>8.9313852519303273E-3</v>
      </c>
      <c r="AD8">
        <f t="shared" si="6"/>
        <v>8.7944507095637173E-3</v>
      </c>
      <c r="AE8">
        <f t="shared" si="6"/>
        <v>8.6606261203601015E-3</v>
      </c>
      <c r="AF8">
        <f t="shared" si="6"/>
        <v>8.5299114843194815E-3</v>
      </c>
      <c r="AG8">
        <f t="shared" si="6"/>
        <v>8.4023068014418539E-3</v>
      </c>
      <c r="AH8">
        <f t="shared" si="6"/>
        <v>8.2778120717272065E-3</v>
      </c>
      <c r="AI8">
        <f t="shared" si="6"/>
        <v>8.1564272951755619E-3</v>
      </c>
      <c r="AJ8">
        <f t="shared" si="6"/>
        <v>8.0381524717869027E-3</v>
      </c>
      <c r="AK8">
        <f t="shared" si="6"/>
        <v>7.9229876015612308E-3</v>
      </c>
      <c r="AL8">
        <f t="shared" si="6"/>
        <v>7.8109326844985599E-3</v>
      </c>
      <c r="AM8">
        <f t="shared" si="6"/>
        <v>7.701987720598877E-3</v>
      </c>
      <c r="AN8">
        <f t="shared" si="6"/>
        <v>7.5961527098621813E-3</v>
      </c>
      <c r="AO8">
        <f t="shared" si="6"/>
        <v>7.4934276522884858E-3</v>
      </c>
      <c r="AP8">
        <f t="shared" si="6"/>
        <v>7.3938125478777783E-3</v>
      </c>
      <c r="AQ8">
        <f t="shared" si="6"/>
        <v>7.2973073966300572E-3</v>
      </c>
      <c r="AR8">
        <f t="shared" si="6"/>
        <v>7.203912198545331E-3</v>
      </c>
      <c r="AS8">
        <f t="shared" si="6"/>
        <v>7.1136269536235912E-3</v>
      </c>
      <c r="AT8">
        <f t="shared" si="6"/>
        <v>7.0264516618648533E-3</v>
      </c>
      <c r="AU8">
        <f t="shared" si="6"/>
        <v>6.9423863232691025E-3</v>
      </c>
      <c r="AV8">
        <f t="shared" si="6"/>
        <v>6.8614309378363381E-3</v>
      </c>
      <c r="AW8">
        <f t="shared" si="6"/>
        <v>6.7835855055665677E-3</v>
      </c>
      <c r="AX8">
        <f t="shared" si="6"/>
        <v>6.7088500264597924E-3</v>
      </c>
      <c r="AY8">
        <f t="shared" si="6"/>
        <v>6.6372245005160042E-3</v>
      </c>
      <c r="AZ8">
        <f t="shared" si="6"/>
        <v>6.5687089277352093E-3</v>
      </c>
      <c r="BA8">
        <f t="shared" si="6"/>
        <v>6.5033033081174016E-3</v>
      </c>
      <c r="BB8">
        <f t="shared" si="6"/>
        <v>6.4410076416625888E-3</v>
      </c>
      <c r="BC8">
        <f t="shared" si="6"/>
        <v>6.3818219283707702E-3</v>
      </c>
      <c r="BD8">
        <f t="shared" si="6"/>
        <v>6.3257461682419379E-3</v>
      </c>
      <c r="BE8">
        <f t="shared" si="6"/>
        <v>6.2727803612760997E-3</v>
      </c>
      <c r="BF8">
        <f t="shared" si="6"/>
        <v>6.2229245074732565E-3</v>
      </c>
      <c r="BG8">
        <f t="shared" si="6"/>
        <v>6.1761786068334004E-3</v>
      </c>
      <c r="BH8">
        <f t="shared" si="6"/>
        <v>6.1325426593565307E-3</v>
      </c>
      <c r="BI8">
        <f t="shared" si="6"/>
        <v>6.0920166650426551E-3</v>
      </c>
      <c r="BJ8">
        <f t="shared" si="6"/>
        <v>6.0546006238917744E-3</v>
      </c>
      <c r="BK8">
        <f t="shared" si="6"/>
        <v>6.0202945359038879E-3</v>
      </c>
      <c r="BL8">
        <f t="shared" si="6"/>
        <v>5.9890984010789877E-3</v>
      </c>
      <c r="BM8">
        <f t="shared" si="6"/>
        <v>5.9610122194170816E-3</v>
      </c>
      <c r="BN8">
        <f t="shared" si="6"/>
        <v>5.9360359909181636E-3</v>
      </c>
      <c r="BO8">
        <f t="shared" si="6"/>
        <v>5.9141697155822397E-3</v>
      </c>
      <c r="BP8">
        <f t="shared" si="6"/>
        <v>5.895413393409309E-3</v>
      </c>
      <c r="BQ8">
        <f t="shared" si="6"/>
        <v>5.8797670243993664E-3</v>
      </c>
      <c r="BR8">
        <f t="shared" si="6"/>
        <v>5.8672306085524109E-3</v>
      </c>
      <c r="BS8">
        <f t="shared" si="6"/>
        <v>5.8578041458684556E-3</v>
      </c>
      <c r="BT8">
        <f t="shared" si="6"/>
        <v>5.8514876363474876E-3</v>
      </c>
      <c r="BU8">
        <f t="shared" si="6"/>
        <v>5.8482810799895075E-3</v>
      </c>
      <c r="BV8">
        <f t="shared" si="6"/>
        <v>5.8481844767945207E-3</v>
      </c>
      <c r="BW8">
        <f t="shared" si="6"/>
        <v>5.8511978267625359E-3</v>
      </c>
      <c r="BX8">
        <f t="shared" si="6"/>
        <v>5.8573211298935304E-3</v>
      </c>
      <c r="BY8">
        <f t="shared" si="6"/>
        <v>5.8665543861875198E-3</v>
      </c>
      <c r="BZ8">
        <f t="shared" si="6"/>
        <v>5.8788975956444956E-3</v>
      </c>
      <c r="CA8">
        <f t="shared" si="6"/>
        <v>5.8943507582644734E-3</v>
      </c>
      <c r="CB8">
        <f t="shared" si="6"/>
        <v>5.9129138740474305E-3</v>
      </c>
      <c r="CC8">
        <f t="shared" si="6"/>
        <v>5.9345869429933895E-3</v>
      </c>
      <c r="CD8">
        <f t="shared" si="6"/>
        <v>5.9593699651023287E-3</v>
      </c>
      <c r="CE8">
        <f t="shared" si="6"/>
        <v>5.9872629403742751E-3</v>
      </c>
      <c r="CF8">
        <f t="shared" si="6"/>
        <v>6.0182658688092026E-3</v>
      </c>
      <c r="CG8">
        <f t="shared" si="4"/>
        <v>6.0523787504071164E-3</v>
      </c>
      <c r="CH8">
        <f t="shared" si="4"/>
        <v>6.0896015851680321E-3</v>
      </c>
      <c r="CI8">
        <f t="shared" si="4"/>
        <v>6.1299343730919342E-3</v>
      </c>
      <c r="CJ8">
        <f t="shared" si="4"/>
        <v>6.1733771141788303E-3</v>
      </c>
      <c r="CK8">
        <f t="shared" si="4"/>
        <v>6.2199298084287145E-3</v>
      </c>
      <c r="CL8">
        <f t="shared" si="4"/>
        <v>6.2695924558415928E-3</v>
      </c>
      <c r="CM8">
        <f t="shared" si="4"/>
        <v>6.3223650564174574E-3</v>
      </c>
      <c r="CN8">
        <f t="shared" si="4"/>
        <v>6.378247610156317E-3</v>
      </c>
      <c r="CO8">
        <f t="shared" si="4"/>
        <v>6.4372401170581708E-3</v>
      </c>
      <c r="CP8">
        <f t="shared" si="4"/>
        <v>6.4993425771230039E-3</v>
      </c>
      <c r="CQ8">
        <f t="shared" si="4"/>
        <v>6.564554990350845E-3</v>
      </c>
      <c r="CR8">
        <f t="shared" si="4"/>
        <v>6.6328773567416663E-3</v>
      </c>
      <c r="CS8">
        <f t="shared" si="4"/>
        <v>6.7043096762954835E-3</v>
      </c>
      <c r="CT8">
        <f t="shared" si="4"/>
        <v>6.778851949012293E-3</v>
      </c>
      <c r="CU8">
        <f t="shared" si="4"/>
        <v>6.8565041748920967E-3</v>
      </c>
      <c r="CV8">
        <f t="shared" si="4"/>
        <v>6.9372663539348815E-3</v>
      </c>
    </row>
    <row r="9" spans="1:100" x14ac:dyDescent="0.2">
      <c r="A9">
        <v>0.72222220000000004</v>
      </c>
      <c r="B9">
        <f t="shared" si="0"/>
        <v>0.52160490617284005</v>
      </c>
      <c r="C9">
        <v>30</v>
      </c>
      <c r="D9">
        <f t="shared" si="1"/>
        <v>900</v>
      </c>
      <c r="E9">
        <f t="shared" si="2"/>
        <v>21.666665999999999</v>
      </c>
      <c r="F9">
        <v>6.1574100000000003E-3</v>
      </c>
      <c r="S9">
        <v>30.6</v>
      </c>
      <c r="T9">
        <f t="shared" si="5"/>
        <v>1.0264973578558097E-2</v>
      </c>
      <c r="U9">
        <f t="shared" si="6"/>
        <v>1.0099954227141834E-2</v>
      </c>
      <c r="V9">
        <f t="shared" si="6"/>
        <v>9.9380448288885672E-3</v>
      </c>
      <c r="W9">
        <f t="shared" si="6"/>
        <v>9.7792453837982941E-3</v>
      </c>
      <c r="X9">
        <f t="shared" si="6"/>
        <v>9.6235558918710135E-3</v>
      </c>
      <c r="Y9">
        <f t="shared" si="6"/>
        <v>9.4709763531067147E-3</v>
      </c>
      <c r="Z9">
        <f t="shared" si="6"/>
        <v>9.3215067675054084E-3</v>
      </c>
      <c r="AA9">
        <f t="shared" si="6"/>
        <v>9.1751471350670841E-3</v>
      </c>
      <c r="AB9">
        <f t="shared" si="6"/>
        <v>9.031897455791766E-3</v>
      </c>
      <c r="AC9">
        <f t="shared" si="6"/>
        <v>8.8917577296794437E-3</v>
      </c>
      <c r="AD9">
        <f t="shared" si="6"/>
        <v>8.7547279567301017E-3</v>
      </c>
      <c r="AE9">
        <f t="shared" si="6"/>
        <v>8.6208081369437521E-3</v>
      </c>
      <c r="AF9">
        <f t="shared" si="6"/>
        <v>8.4899982703203983E-3</v>
      </c>
      <c r="AG9">
        <f t="shared" si="6"/>
        <v>8.362298356860037E-3</v>
      </c>
      <c r="AH9">
        <f t="shared" si="6"/>
        <v>8.2377083965626575E-3</v>
      </c>
      <c r="AI9">
        <f t="shared" si="6"/>
        <v>8.1162283894282775E-3</v>
      </c>
      <c r="AJ9">
        <f t="shared" si="6"/>
        <v>7.9978583354568863E-3</v>
      </c>
      <c r="AK9">
        <f t="shared" si="6"/>
        <v>7.8825982346484823E-3</v>
      </c>
      <c r="AL9">
        <f t="shared" si="6"/>
        <v>7.7704480870030776E-3</v>
      </c>
      <c r="AM9">
        <f t="shared" si="6"/>
        <v>7.661407892520661E-3</v>
      </c>
      <c r="AN9">
        <f t="shared" si="6"/>
        <v>7.5554776512012324E-3</v>
      </c>
      <c r="AO9">
        <f t="shared" si="6"/>
        <v>7.452657363044804E-3</v>
      </c>
      <c r="AP9">
        <f t="shared" si="6"/>
        <v>7.3529470280513628E-3</v>
      </c>
      <c r="AQ9">
        <f t="shared" si="6"/>
        <v>7.2563466462209087E-3</v>
      </c>
      <c r="AR9">
        <f t="shared" si="6"/>
        <v>7.1628562175534488E-3</v>
      </c>
      <c r="AS9">
        <f t="shared" si="6"/>
        <v>7.072475742048976E-3</v>
      </c>
      <c r="AT9">
        <f t="shared" si="6"/>
        <v>6.9852052197075052E-3</v>
      </c>
      <c r="AU9">
        <f t="shared" si="6"/>
        <v>6.9010446505290207E-3</v>
      </c>
      <c r="AV9">
        <f t="shared" si="6"/>
        <v>6.8199940345135233E-3</v>
      </c>
      <c r="AW9">
        <f t="shared" si="6"/>
        <v>6.7420533716610201E-3</v>
      </c>
      <c r="AX9">
        <f t="shared" si="6"/>
        <v>6.667222661971511E-3</v>
      </c>
      <c r="AY9">
        <f t="shared" si="6"/>
        <v>6.5955019054449891E-3</v>
      </c>
      <c r="AZ9">
        <f t="shared" si="6"/>
        <v>6.5268911020814613E-3</v>
      </c>
      <c r="BA9">
        <f t="shared" si="6"/>
        <v>6.4613902518809215E-3</v>
      </c>
      <c r="BB9">
        <f t="shared" si="6"/>
        <v>6.3989993548433741E-3</v>
      </c>
      <c r="BC9">
        <f t="shared" si="6"/>
        <v>6.3397184109688226E-3</v>
      </c>
      <c r="BD9">
        <f t="shared" si="6"/>
        <v>6.2835474202572574E-3</v>
      </c>
      <c r="BE9">
        <f t="shared" si="6"/>
        <v>6.2304863827086863E-3</v>
      </c>
      <c r="BF9">
        <f t="shared" si="6"/>
        <v>6.1805352983231093E-3</v>
      </c>
      <c r="BG9">
        <f t="shared" si="6"/>
        <v>6.1336941671005195E-3</v>
      </c>
      <c r="BH9">
        <f t="shared" si="6"/>
        <v>6.0899629890409177E-3</v>
      </c>
      <c r="BI9">
        <f t="shared" si="6"/>
        <v>6.0493417641443092E-3</v>
      </c>
      <c r="BJ9">
        <f t="shared" si="6"/>
        <v>6.0118304924106948E-3</v>
      </c>
      <c r="BK9">
        <f t="shared" si="6"/>
        <v>5.9774291738400745E-3</v>
      </c>
      <c r="BL9">
        <f t="shared" si="6"/>
        <v>5.9461378084324414E-3</v>
      </c>
      <c r="BM9">
        <f t="shared" si="6"/>
        <v>5.9179563961878024E-3</v>
      </c>
      <c r="BN9">
        <f t="shared" si="6"/>
        <v>5.8928849371061506E-3</v>
      </c>
      <c r="BO9">
        <f t="shared" si="6"/>
        <v>5.8709234311874938E-3</v>
      </c>
      <c r="BP9">
        <f t="shared" si="6"/>
        <v>5.8520718784318302E-3</v>
      </c>
      <c r="BQ9">
        <f t="shared" si="6"/>
        <v>5.8363302788391538E-3</v>
      </c>
      <c r="BR9">
        <f t="shared" si="6"/>
        <v>5.8236986324094646E-3</v>
      </c>
      <c r="BS9">
        <f t="shared" si="6"/>
        <v>5.8141769391427765E-3</v>
      </c>
      <c r="BT9">
        <f t="shared" si="6"/>
        <v>5.8077651990390763E-3</v>
      </c>
      <c r="BU9">
        <f t="shared" si="6"/>
        <v>5.8044634120983617E-3</v>
      </c>
      <c r="BV9">
        <f t="shared" si="6"/>
        <v>5.8042715783206428E-3</v>
      </c>
      <c r="BW9">
        <f t="shared" si="6"/>
        <v>5.8071896977059242E-3</v>
      </c>
      <c r="BX9">
        <f t="shared" si="6"/>
        <v>5.8132177702541858E-3</v>
      </c>
      <c r="BY9">
        <f t="shared" si="6"/>
        <v>5.8223557959654415E-3</v>
      </c>
      <c r="BZ9">
        <f t="shared" si="6"/>
        <v>5.8346037748396844E-3</v>
      </c>
      <c r="CA9">
        <f t="shared" si="6"/>
        <v>5.8499617068769293E-3</v>
      </c>
      <c r="CB9">
        <f t="shared" si="6"/>
        <v>5.8684295920771535E-3</v>
      </c>
      <c r="CC9">
        <f t="shared" si="6"/>
        <v>5.8900074304403787E-3</v>
      </c>
      <c r="CD9">
        <f t="shared" si="6"/>
        <v>5.9146952219665842E-3</v>
      </c>
      <c r="CE9">
        <f t="shared" si="6"/>
        <v>5.9424929666557977E-3</v>
      </c>
      <c r="CF9">
        <f t="shared" si="6"/>
        <v>5.9734006645079923E-3</v>
      </c>
      <c r="CG9">
        <f t="shared" si="4"/>
        <v>6.0074183155231723E-3</v>
      </c>
      <c r="CH9">
        <f t="shared" si="4"/>
        <v>6.0445459197013551E-3</v>
      </c>
      <c r="CI9">
        <f t="shared" si="4"/>
        <v>6.0847834770425234E-3</v>
      </c>
      <c r="CJ9">
        <f t="shared" si="4"/>
        <v>6.1281309875466875E-3</v>
      </c>
      <c r="CK9">
        <f t="shared" si="4"/>
        <v>6.1745884512138379E-3</v>
      </c>
      <c r="CL9">
        <f t="shared" si="4"/>
        <v>6.2241558680439825E-3</v>
      </c>
      <c r="CM9">
        <f t="shared" si="4"/>
        <v>6.2768332380371142E-3</v>
      </c>
      <c r="CN9">
        <f t="shared" si="4"/>
        <v>6.3326205611932401E-3</v>
      </c>
      <c r="CO9">
        <f t="shared" si="4"/>
        <v>6.3915178375123609E-3</v>
      </c>
      <c r="CP9">
        <f t="shared" si="4"/>
        <v>6.4535250669944611E-3</v>
      </c>
      <c r="CQ9">
        <f t="shared" si="4"/>
        <v>6.5186422496395693E-3</v>
      </c>
      <c r="CR9">
        <f t="shared" si="4"/>
        <v>6.5868693854476577E-3</v>
      </c>
      <c r="CS9">
        <f t="shared" si="4"/>
        <v>6.6582064744187403E-3</v>
      </c>
      <c r="CT9">
        <f t="shared" si="4"/>
        <v>6.7326535165528169E-3</v>
      </c>
      <c r="CU9">
        <f t="shared" si="4"/>
        <v>6.8102105118498877E-3</v>
      </c>
      <c r="CV9">
        <f t="shared" si="4"/>
        <v>6.8908774603099396E-3</v>
      </c>
    </row>
    <row r="10" spans="1:100" x14ac:dyDescent="0.2">
      <c r="A10">
        <v>0.81111109999999997</v>
      </c>
      <c r="B10">
        <f t="shared" si="0"/>
        <v>0.65790121654320999</v>
      </c>
      <c r="C10">
        <v>30</v>
      </c>
      <c r="D10">
        <f t="shared" si="1"/>
        <v>900</v>
      </c>
      <c r="E10">
        <f t="shared" si="2"/>
        <v>24.333333</v>
      </c>
      <c r="F10">
        <v>5.9963000000000004E-3</v>
      </c>
      <c r="S10">
        <v>30.7</v>
      </c>
      <c r="T10">
        <f t="shared" si="5"/>
        <v>1.0227103585278624E-2</v>
      </c>
      <c r="U10">
        <f t="shared" si="6"/>
        <v>1.0061989003279629E-2</v>
      </c>
      <c r="V10">
        <f t="shared" si="6"/>
        <v>9.8999843744436277E-3</v>
      </c>
      <c r="W10">
        <f t="shared" si="6"/>
        <v>9.7410896987706209E-3</v>
      </c>
      <c r="X10">
        <f t="shared" si="6"/>
        <v>9.5853049762606064E-3</v>
      </c>
      <c r="Y10">
        <f t="shared" si="6"/>
        <v>9.432630206913574E-3</v>
      </c>
      <c r="Z10">
        <f t="shared" si="6"/>
        <v>9.2830653907295356E-3</v>
      </c>
      <c r="AA10">
        <f t="shared" si="6"/>
        <v>9.1366105277084775E-3</v>
      </c>
      <c r="AB10">
        <f t="shared" si="6"/>
        <v>8.9932656178504274E-3</v>
      </c>
      <c r="AC10">
        <f t="shared" si="6"/>
        <v>8.8530306611553714E-3</v>
      </c>
      <c r="AD10">
        <f t="shared" si="6"/>
        <v>8.7159056576232956E-3</v>
      </c>
      <c r="AE10">
        <f t="shared" si="6"/>
        <v>8.5818906072542139E-3</v>
      </c>
      <c r="AF10">
        <f t="shared" si="6"/>
        <v>8.4509855100481264E-3</v>
      </c>
      <c r="AG10">
        <f t="shared" si="6"/>
        <v>8.323190366005033E-3</v>
      </c>
      <c r="AH10">
        <f t="shared" si="6"/>
        <v>8.1985051751249181E-3</v>
      </c>
      <c r="AI10">
        <f t="shared" si="6"/>
        <v>8.0769299374078059E-3</v>
      </c>
      <c r="AJ10">
        <f t="shared" si="6"/>
        <v>7.958464652853681E-3</v>
      </c>
      <c r="AK10">
        <f t="shared" si="6"/>
        <v>7.8431093214625432E-3</v>
      </c>
      <c r="AL10">
        <f t="shared" si="6"/>
        <v>7.7308639432344065E-3</v>
      </c>
      <c r="AM10">
        <f t="shared" si="6"/>
        <v>7.621728518169257E-3</v>
      </c>
      <c r="AN10">
        <f t="shared" si="6"/>
        <v>7.5157030462670946E-3</v>
      </c>
      <c r="AO10">
        <f t="shared" si="6"/>
        <v>7.4127875275279325E-3</v>
      </c>
      <c r="AP10">
        <f t="shared" si="6"/>
        <v>7.3129819619517583E-3</v>
      </c>
      <c r="AQ10">
        <f t="shared" si="6"/>
        <v>7.2162863495385714E-3</v>
      </c>
      <c r="AR10">
        <f t="shared" si="6"/>
        <v>7.1227006902883777E-3</v>
      </c>
      <c r="AS10">
        <f t="shared" si="6"/>
        <v>7.0322249842011721E-3</v>
      </c>
      <c r="AT10">
        <f t="shared" si="6"/>
        <v>6.9448592312769675E-3</v>
      </c>
      <c r="AU10">
        <f t="shared" si="6"/>
        <v>6.8606034315157501E-3</v>
      </c>
      <c r="AV10">
        <f t="shared" si="6"/>
        <v>6.7794575849175198E-3</v>
      </c>
      <c r="AW10">
        <f t="shared" si="6"/>
        <v>6.7014216914822837E-3</v>
      </c>
      <c r="AX10">
        <f t="shared" si="6"/>
        <v>6.6264957512100408E-3</v>
      </c>
      <c r="AY10">
        <f t="shared" si="6"/>
        <v>6.554679764100786E-3</v>
      </c>
      <c r="AZ10">
        <f t="shared" si="6"/>
        <v>6.4859737301545253E-3</v>
      </c>
      <c r="BA10">
        <f t="shared" si="6"/>
        <v>6.4203776493712518E-3</v>
      </c>
      <c r="BB10">
        <f t="shared" si="6"/>
        <v>6.3578915217509715E-3</v>
      </c>
      <c r="BC10">
        <f t="shared" si="6"/>
        <v>6.2985153472936862E-3</v>
      </c>
      <c r="BD10">
        <f t="shared" si="6"/>
        <v>6.2422491259993881E-3</v>
      </c>
      <c r="BE10">
        <f t="shared" si="6"/>
        <v>6.1890928578680841E-3</v>
      </c>
      <c r="BF10">
        <f t="shared" si="6"/>
        <v>6.1390465428997742E-3</v>
      </c>
      <c r="BG10">
        <f t="shared" si="6"/>
        <v>6.0921101810944515E-3</v>
      </c>
      <c r="BH10">
        <f t="shared" si="6"/>
        <v>6.0482837724521151E-3</v>
      </c>
      <c r="BI10">
        <f t="shared" si="6"/>
        <v>6.0075673169727737E-3</v>
      </c>
      <c r="BJ10">
        <f t="shared" si="6"/>
        <v>5.9699608146564264E-3</v>
      </c>
      <c r="BK10">
        <f t="shared" si="6"/>
        <v>5.9354642655030732E-3</v>
      </c>
      <c r="BL10">
        <f t="shared" si="6"/>
        <v>5.9040776695127063E-3</v>
      </c>
      <c r="BM10">
        <f t="shared" si="6"/>
        <v>5.8758010266853344E-3</v>
      </c>
      <c r="BN10">
        <f t="shared" si="6"/>
        <v>5.8506343370209497E-3</v>
      </c>
      <c r="BO10">
        <f t="shared" si="6"/>
        <v>5.8285776005195591E-3</v>
      </c>
      <c r="BP10">
        <f t="shared" si="6"/>
        <v>5.8096308171811627E-3</v>
      </c>
      <c r="BQ10">
        <f t="shared" si="6"/>
        <v>5.7937939870057534E-3</v>
      </c>
      <c r="BR10">
        <f t="shared" si="6"/>
        <v>5.7810671099933304E-3</v>
      </c>
      <c r="BS10">
        <f t="shared" si="6"/>
        <v>5.7714501861439093E-3</v>
      </c>
      <c r="BT10">
        <f t="shared" si="6"/>
        <v>5.7649432154574754E-3</v>
      </c>
      <c r="BU10">
        <f t="shared" si="6"/>
        <v>5.7615461979340279E-3</v>
      </c>
      <c r="BV10">
        <f t="shared" si="6"/>
        <v>5.7612591335735753E-3</v>
      </c>
      <c r="BW10">
        <f t="shared" si="6"/>
        <v>5.7640820223761238E-3</v>
      </c>
      <c r="BX10">
        <f t="shared" si="6"/>
        <v>5.7700148643416525E-3</v>
      </c>
      <c r="BY10">
        <f t="shared" si="6"/>
        <v>5.7790576594701753E-3</v>
      </c>
      <c r="BZ10">
        <f t="shared" si="6"/>
        <v>5.7912104077616844E-3</v>
      </c>
      <c r="CA10">
        <f t="shared" si="6"/>
        <v>5.8064731092161963E-3</v>
      </c>
      <c r="CB10">
        <f t="shared" si="6"/>
        <v>5.8248457638336868E-3</v>
      </c>
      <c r="CC10">
        <f t="shared" si="6"/>
        <v>5.8463283716141791E-3</v>
      </c>
      <c r="CD10">
        <f t="shared" si="6"/>
        <v>5.8709209325576509E-3</v>
      </c>
      <c r="CE10">
        <f t="shared" ref="CE10:CF41" si="7">$H$3+$H$4*CE$2+$H$5*CE$2*CE$2+$H$6*$S10+$H$7*$S10*$S10+$H$8*CE$2*$S10</f>
        <v>5.8986234466641314E-3</v>
      </c>
      <c r="CF10">
        <f t="shared" si="7"/>
        <v>5.9294359139335923E-3</v>
      </c>
      <c r="CG10">
        <f t="shared" si="4"/>
        <v>5.9633583343660403E-3</v>
      </c>
      <c r="CH10">
        <f t="shared" si="4"/>
        <v>6.0003907079614893E-3</v>
      </c>
      <c r="CI10">
        <f t="shared" si="4"/>
        <v>6.0405330347199247E-3</v>
      </c>
      <c r="CJ10">
        <f t="shared" si="4"/>
        <v>6.083785314641355E-3</v>
      </c>
      <c r="CK10">
        <f t="shared" si="4"/>
        <v>6.1301475477257726E-3</v>
      </c>
      <c r="CL10">
        <f t="shared" si="4"/>
        <v>6.1796197339731834E-3</v>
      </c>
      <c r="CM10">
        <f t="shared" si="4"/>
        <v>6.2322018733835822E-3</v>
      </c>
      <c r="CN10">
        <f t="shared" si="4"/>
        <v>6.2878939659569751E-3</v>
      </c>
      <c r="CO10">
        <f t="shared" si="4"/>
        <v>6.3466960116933622E-3</v>
      </c>
      <c r="CP10">
        <f t="shared" si="4"/>
        <v>6.4086080105927295E-3</v>
      </c>
      <c r="CQ10">
        <f t="shared" si="4"/>
        <v>6.4736299626551048E-3</v>
      </c>
      <c r="CR10">
        <f t="shared" si="4"/>
        <v>6.5417618678804603E-3</v>
      </c>
      <c r="CS10">
        <f t="shared" si="4"/>
        <v>6.6130037262688091E-3</v>
      </c>
      <c r="CT10">
        <f t="shared" si="4"/>
        <v>6.6873555378201529E-3</v>
      </c>
      <c r="CU10">
        <f t="shared" si="4"/>
        <v>6.7648173025344907E-3</v>
      </c>
      <c r="CV10">
        <f t="shared" si="4"/>
        <v>6.845389020411808E-3</v>
      </c>
    </row>
    <row r="11" spans="1:100" x14ac:dyDescent="0.2">
      <c r="A11">
        <v>0.9</v>
      </c>
      <c r="B11">
        <f t="shared" si="0"/>
        <v>0.81</v>
      </c>
      <c r="C11">
        <v>30</v>
      </c>
      <c r="D11">
        <f t="shared" si="1"/>
        <v>900</v>
      </c>
      <c r="E11">
        <f t="shared" si="2"/>
        <v>27</v>
      </c>
      <c r="F11">
        <v>7.3000000000000001E-3</v>
      </c>
      <c r="S11">
        <v>30.8</v>
      </c>
      <c r="T11">
        <f t="shared" si="5"/>
        <v>1.0190134045725954E-2</v>
      </c>
      <c r="U11">
        <f t="shared" si="5"/>
        <v>1.0024924233144225E-2</v>
      </c>
      <c r="V11">
        <f t="shared" si="5"/>
        <v>9.8628243737254907E-3</v>
      </c>
      <c r="W11">
        <f t="shared" si="5"/>
        <v>9.7038344674697519E-3</v>
      </c>
      <c r="X11">
        <f t="shared" si="5"/>
        <v>9.5479545143770054E-3</v>
      </c>
      <c r="Y11">
        <f t="shared" si="5"/>
        <v>9.3951845144472391E-3</v>
      </c>
      <c r="Z11">
        <f t="shared" si="5"/>
        <v>9.245524467680467E-3</v>
      </c>
      <c r="AA11">
        <f t="shared" si="5"/>
        <v>9.0989743740766751E-3</v>
      </c>
      <c r="AB11">
        <f t="shared" si="5"/>
        <v>8.955534233635893E-3</v>
      </c>
      <c r="AC11">
        <f t="shared" si="5"/>
        <v>8.8152040463581032E-3</v>
      </c>
      <c r="AD11">
        <f t="shared" si="5"/>
        <v>8.6779838122432937E-3</v>
      </c>
      <c r="AE11">
        <f t="shared" si="5"/>
        <v>8.5438735312914783E-3</v>
      </c>
      <c r="AF11">
        <f t="shared" si="5"/>
        <v>8.4128732035026587E-3</v>
      </c>
      <c r="AG11">
        <f t="shared" si="5"/>
        <v>8.2849828288768315E-3</v>
      </c>
      <c r="AH11">
        <f t="shared" si="5"/>
        <v>8.1602024074139846E-3</v>
      </c>
      <c r="AI11">
        <f t="shared" si="5"/>
        <v>8.0385319391141387E-3</v>
      </c>
      <c r="AJ11">
        <f t="shared" ref="AJ11:AY27" si="8">$H$3+$H$4*AJ$2+$H$5*AJ$2*AJ$2+$H$6*$S11+$H$7*$S11*$S11+$H$8*AJ$2*$S11</f>
        <v>7.91997142397728E-3</v>
      </c>
      <c r="AK11">
        <f t="shared" si="8"/>
        <v>7.8045208620034093E-3</v>
      </c>
      <c r="AL11">
        <f t="shared" si="8"/>
        <v>7.6921802531925397E-3</v>
      </c>
      <c r="AM11">
        <f t="shared" si="8"/>
        <v>7.5829495975446564E-3</v>
      </c>
      <c r="AN11">
        <f t="shared" si="8"/>
        <v>7.4768288950597603E-3</v>
      </c>
      <c r="AO11">
        <f t="shared" si="8"/>
        <v>7.3738181457378661E-3</v>
      </c>
      <c r="AP11">
        <f t="shared" si="8"/>
        <v>7.2739173495789582E-3</v>
      </c>
      <c r="AQ11">
        <f t="shared" si="8"/>
        <v>7.1771265065830384E-3</v>
      </c>
      <c r="AR11">
        <f t="shared" si="8"/>
        <v>7.0834456167501118E-3</v>
      </c>
      <c r="AS11">
        <f t="shared" si="8"/>
        <v>6.9928746800801724E-3</v>
      </c>
      <c r="AT11">
        <f t="shared" si="8"/>
        <v>6.9054136965732349E-3</v>
      </c>
      <c r="AU11">
        <f t="shared" si="8"/>
        <v>6.8210626662292845E-3</v>
      </c>
      <c r="AV11">
        <f t="shared" si="8"/>
        <v>6.7398215890483205E-3</v>
      </c>
      <c r="AW11">
        <f t="shared" si="8"/>
        <v>6.6616904650303507E-3</v>
      </c>
      <c r="AX11">
        <f t="shared" si="8"/>
        <v>6.5866692941753749E-3</v>
      </c>
      <c r="AY11">
        <f t="shared" si="8"/>
        <v>6.5147580764833872E-3</v>
      </c>
      <c r="AZ11">
        <f t="shared" ref="AZ11:BO26" si="9">$H$3+$H$4*AZ$2+$H$5*AZ$2*AZ$2+$H$6*$S11+$H$7*$S11*$S11+$H$8*AZ$2*$S11</f>
        <v>6.4459568119543936E-3</v>
      </c>
      <c r="BA11">
        <f t="shared" si="9"/>
        <v>6.3802655005883863E-3</v>
      </c>
      <c r="BB11">
        <f t="shared" si="9"/>
        <v>6.3176841423853731E-3</v>
      </c>
      <c r="BC11">
        <f t="shared" si="9"/>
        <v>6.258212737345354E-3</v>
      </c>
      <c r="BD11">
        <f t="shared" si="9"/>
        <v>6.201851285468323E-3</v>
      </c>
      <c r="BE11">
        <f t="shared" si="9"/>
        <v>6.1485997867542861E-3</v>
      </c>
      <c r="BF11">
        <f t="shared" si="9"/>
        <v>6.0984582412032425E-3</v>
      </c>
      <c r="BG11">
        <f t="shared" si="9"/>
        <v>6.051426648815186E-3</v>
      </c>
      <c r="BH11">
        <f t="shared" si="9"/>
        <v>6.0075050095901176E-3</v>
      </c>
      <c r="BI11">
        <f t="shared" si="9"/>
        <v>5.9666933235280424E-3</v>
      </c>
      <c r="BJ11">
        <f t="shared" si="9"/>
        <v>5.9289915906289622E-3</v>
      </c>
      <c r="BK11">
        <f t="shared" si="9"/>
        <v>5.8943998108928752E-3</v>
      </c>
      <c r="BL11">
        <f t="shared" si="9"/>
        <v>5.8629179843197755E-3</v>
      </c>
      <c r="BM11">
        <f t="shared" si="9"/>
        <v>5.8345461109096698E-3</v>
      </c>
      <c r="BN11">
        <f t="shared" si="9"/>
        <v>5.8092841906625522E-3</v>
      </c>
      <c r="BO11">
        <f t="shared" si="9"/>
        <v>5.7871322235784287E-3</v>
      </c>
      <c r="BP11">
        <f t="shared" ref="BP11:CE40" si="10">$H$3+$H$4*BP$2+$H$5*BP$2*BP$2+$H$6*$S11+$H$7*$S11*$S11+$H$8*BP$2*$S11</f>
        <v>5.7680902096572985E-3</v>
      </c>
      <c r="BQ11">
        <f t="shared" si="10"/>
        <v>5.7521581488991554E-3</v>
      </c>
      <c r="BR11">
        <f t="shared" si="10"/>
        <v>5.7393360413040004E-3</v>
      </c>
      <c r="BS11">
        <f t="shared" si="10"/>
        <v>5.7296238868718465E-3</v>
      </c>
      <c r="BT11">
        <f t="shared" si="10"/>
        <v>5.7230216856026788E-3</v>
      </c>
      <c r="BU11">
        <f t="shared" si="10"/>
        <v>5.7195294374964983E-3</v>
      </c>
      <c r="BV11">
        <f t="shared" si="10"/>
        <v>5.719147142553312E-3</v>
      </c>
      <c r="BW11">
        <f t="shared" si="10"/>
        <v>5.7218748007731276E-3</v>
      </c>
      <c r="BX11">
        <f t="shared" si="10"/>
        <v>5.7277124121559225E-3</v>
      </c>
      <c r="BY11">
        <f t="shared" si="10"/>
        <v>5.7366599767017124E-3</v>
      </c>
      <c r="BZ11">
        <f t="shared" si="10"/>
        <v>5.7487174944104887E-3</v>
      </c>
      <c r="CA11">
        <f t="shared" si="10"/>
        <v>5.7638849652822668E-3</v>
      </c>
      <c r="CB11">
        <f t="shared" si="10"/>
        <v>5.7821623893170243E-3</v>
      </c>
      <c r="CC11">
        <f t="shared" si="10"/>
        <v>5.8035497665147838E-3</v>
      </c>
      <c r="CD11">
        <f t="shared" si="10"/>
        <v>5.8280470968755226E-3</v>
      </c>
      <c r="CE11">
        <f t="shared" si="10"/>
        <v>5.8556543803992694E-3</v>
      </c>
      <c r="CF11">
        <f t="shared" si="7"/>
        <v>5.8863716170859974E-3</v>
      </c>
      <c r="CG11">
        <f t="shared" si="4"/>
        <v>5.9201988069357116E-3</v>
      </c>
      <c r="CH11">
        <f t="shared" si="4"/>
        <v>5.9571359499484278E-3</v>
      </c>
      <c r="CI11">
        <f t="shared" si="4"/>
        <v>5.9971830461241302E-3</v>
      </c>
      <c r="CJ11">
        <f t="shared" si="4"/>
        <v>6.0403400954628268E-3</v>
      </c>
      <c r="CK11">
        <f t="shared" si="4"/>
        <v>6.0866070979645106E-3</v>
      </c>
      <c r="CL11">
        <f t="shared" si="4"/>
        <v>6.1359840536291893E-3</v>
      </c>
      <c r="CM11">
        <f t="shared" si="4"/>
        <v>6.1884709624568553E-3</v>
      </c>
      <c r="CN11">
        <f t="shared" si="4"/>
        <v>6.2440678244475144E-3</v>
      </c>
      <c r="CO11">
        <f t="shared" si="4"/>
        <v>6.3027746396011677E-3</v>
      </c>
      <c r="CP11">
        <f t="shared" si="4"/>
        <v>6.3645914079178021E-3</v>
      </c>
      <c r="CQ11">
        <f t="shared" si="4"/>
        <v>6.4295181293974437E-3</v>
      </c>
      <c r="CR11">
        <f t="shared" si="4"/>
        <v>6.4975548040400663E-3</v>
      </c>
      <c r="CS11">
        <f t="shared" si="4"/>
        <v>6.5687014318456822E-3</v>
      </c>
      <c r="CT11">
        <f t="shared" si="4"/>
        <v>6.6429580128142922E-3</v>
      </c>
      <c r="CU11">
        <f t="shared" si="4"/>
        <v>6.7203245469458972E-3</v>
      </c>
      <c r="CV11">
        <f t="shared" si="4"/>
        <v>6.8008010342404815E-3</v>
      </c>
    </row>
    <row r="12" spans="1:100" x14ac:dyDescent="0.2">
      <c r="A12">
        <v>0.1</v>
      </c>
      <c r="B12">
        <f t="shared" si="0"/>
        <v>1.0000000000000002E-2</v>
      </c>
      <c r="C12">
        <v>32.5</v>
      </c>
      <c r="D12">
        <f t="shared" si="1"/>
        <v>1056.25</v>
      </c>
      <c r="E12">
        <f t="shared" si="2"/>
        <v>3.25</v>
      </c>
      <c r="F12">
        <v>1.09E-2</v>
      </c>
      <c r="S12">
        <v>30.9</v>
      </c>
      <c r="T12">
        <f t="shared" si="5"/>
        <v>1.0154064959900117E-2</v>
      </c>
      <c r="U12">
        <f t="shared" si="5"/>
        <v>9.988759916735656E-3</v>
      </c>
      <c r="V12">
        <f t="shared" si="5"/>
        <v>9.8265648267341875E-3</v>
      </c>
      <c r="W12">
        <f t="shared" si="5"/>
        <v>9.6674796898957149E-3</v>
      </c>
      <c r="X12">
        <f t="shared" si="5"/>
        <v>9.5115045062202346E-3</v>
      </c>
      <c r="Y12">
        <f t="shared" si="5"/>
        <v>9.3586392757077363E-3</v>
      </c>
      <c r="Z12">
        <f t="shared" si="5"/>
        <v>9.2088839983582305E-3</v>
      </c>
      <c r="AA12">
        <f t="shared" si="5"/>
        <v>9.0622386741717065E-3</v>
      </c>
      <c r="AB12">
        <f t="shared" si="5"/>
        <v>8.9187033031481889E-3</v>
      </c>
      <c r="AC12">
        <f t="shared" si="5"/>
        <v>8.7782778852876671E-3</v>
      </c>
      <c r="AD12">
        <f t="shared" si="5"/>
        <v>8.6409624205901238E-3</v>
      </c>
      <c r="AE12">
        <f t="shared" si="5"/>
        <v>8.5067569090555763E-3</v>
      </c>
      <c r="AF12">
        <f t="shared" si="5"/>
        <v>8.375661350684023E-3</v>
      </c>
      <c r="AG12">
        <f t="shared" si="5"/>
        <v>8.2476757454754621E-3</v>
      </c>
      <c r="AH12">
        <f t="shared" si="5"/>
        <v>8.1228000934298831E-3</v>
      </c>
      <c r="AI12">
        <f t="shared" si="5"/>
        <v>8.0010343945473034E-3</v>
      </c>
      <c r="AJ12">
        <f t="shared" si="8"/>
        <v>7.8823786488277127E-3</v>
      </c>
      <c r="AK12">
        <f t="shared" si="8"/>
        <v>7.7668328562711074E-3</v>
      </c>
      <c r="AL12">
        <f t="shared" si="8"/>
        <v>7.654397016877504E-3</v>
      </c>
      <c r="AM12">
        <f t="shared" si="8"/>
        <v>7.5450711306468878E-3</v>
      </c>
      <c r="AN12">
        <f t="shared" si="8"/>
        <v>7.4388551975792597E-3</v>
      </c>
      <c r="AO12">
        <f t="shared" si="8"/>
        <v>7.3357492176746308E-3</v>
      </c>
      <c r="AP12">
        <f t="shared" si="8"/>
        <v>7.2357531909329909E-3</v>
      </c>
      <c r="AQ12">
        <f t="shared" si="8"/>
        <v>7.1388671173543364E-3</v>
      </c>
      <c r="AR12">
        <f t="shared" si="8"/>
        <v>7.0450909969386778E-3</v>
      </c>
      <c r="AS12">
        <f t="shared" si="8"/>
        <v>6.9544248296860055E-3</v>
      </c>
      <c r="AT12">
        <f t="shared" si="8"/>
        <v>6.8668686155963343E-3</v>
      </c>
      <c r="AU12">
        <f t="shared" si="8"/>
        <v>6.7824223546696502E-3</v>
      </c>
      <c r="AV12">
        <f t="shared" si="8"/>
        <v>6.7010860469059533E-3</v>
      </c>
      <c r="AW12">
        <f t="shared" si="8"/>
        <v>6.6228596923052505E-3</v>
      </c>
      <c r="AX12">
        <f t="shared" si="8"/>
        <v>6.5477432908675418E-3</v>
      </c>
      <c r="AY12">
        <f t="shared" si="8"/>
        <v>6.4757368425928203E-3</v>
      </c>
      <c r="AZ12">
        <f t="shared" si="9"/>
        <v>6.406840347481093E-3</v>
      </c>
      <c r="BA12">
        <f t="shared" si="9"/>
        <v>6.3410538055323528E-3</v>
      </c>
      <c r="BB12">
        <f t="shared" si="9"/>
        <v>6.2783772167466067E-3</v>
      </c>
      <c r="BC12">
        <f t="shared" si="9"/>
        <v>6.2188105811238547E-3</v>
      </c>
      <c r="BD12">
        <f t="shared" si="9"/>
        <v>6.1623538986640899E-3</v>
      </c>
      <c r="BE12">
        <f t="shared" si="9"/>
        <v>6.1090071693673193E-3</v>
      </c>
      <c r="BF12">
        <f t="shared" si="9"/>
        <v>6.0587703932335427E-3</v>
      </c>
      <c r="BG12">
        <f t="shared" si="9"/>
        <v>6.0116435702627534E-3</v>
      </c>
      <c r="BH12">
        <f t="shared" si="9"/>
        <v>5.9676267004549512E-3</v>
      </c>
      <c r="BI12">
        <f t="shared" si="9"/>
        <v>5.926719783810144E-3</v>
      </c>
      <c r="BJ12">
        <f t="shared" si="9"/>
        <v>5.8889228203283291E-3</v>
      </c>
      <c r="BK12">
        <f t="shared" si="9"/>
        <v>5.8542358100095102E-3</v>
      </c>
      <c r="BL12">
        <f t="shared" si="9"/>
        <v>5.8226587528536766E-3</v>
      </c>
      <c r="BM12">
        <f t="shared" si="9"/>
        <v>5.7941916488608389E-3</v>
      </c>
      <c r="BN12">
        <f t="shared" si="9"/>
        <v>5.7688344980309867E-3</v>
      </c>
      <c r="BO12">
        <f t="shared" si="9"/>
        <v>5.7465873003641303E-3</v>
      </c>
      <c r="BP12">
        <f t="shared" si="10"/>
        <v>5.7274500558602672E-3</v>
      </c>
      <c r="BQ12">
        <f t="shared" si="10"/>
        <v>5.7114227645193912E-3</v>
      </c>
      <c r="BR12">
        <f t="shared" si="10"/>
        <v>5.6985054263415024E-3</v>
      </c>
      <c r="BS12">
        <f t="shared" si="10"/>
        <v>5.6886980413266147E-3</v>
      </c>
      <c r="BT12">
        <f t="shared" si="10"/>
        <v>5.6820006094747142E-3</v>
      </c>
      <c r="BU12">
        <f t="shared" si="10"/>
        <v>5.6784131307858008E-3</v>
      </c>
      <c r="BV12">
        <f t="shared" si="10"/>
        <v>5.6779356052598816E-3</v>
      </c>
      <c r="BW12">
        <f t="shared" si="10"/>
        <v>5.6805680328969634E-3</v>
      </c>
      <c r="BX12">
        <f t="shared" si="10"/>
        <v>5.6863104136970254E-3</v>
      </c>
      <c r="BY12">
        <f t="shared" si="10"/>
        <v>5.6951627476600816E-3</v>
      </c>
      <c r="BZ12">
        <f t="shared" si="10"/>
        <v>5.7071250347861249E-3</v>
      </c>
      <c r="CA12">
        <f t="shared" si="10"/>
        <v>5.7221972750751693E-3</v>
      </c>
      <c r="CB12">
        <f t="shared" si="10"/>
        <v>5.7403794685271948E-3</v>
      </c>
      <c r="CC12">
        <f t="shared" si="10"/>
        <v>5.7616716151422196E-3</v>
      </c>
      <c r="CD12">
        <f t="shared" si="10"/>
        <v>5.7860737149202264E-3</v>
      </c>
      <c r="CE12">
        <f t="shared" si="10"/>
        <v>5.8135857678612395E-3</v>
      </c>
      <c r="CF12">
        <f t="shared" si="7"/>
        <v>5.8442077739652345E-3</v>
      </c>
      <c r="CG12">
        <f t="shared" si="4"/>
        <v>5.877939733232215E-3</v>
      </c>
      <c r="CH12">
        <f t="shared" si="4"/>
        <v>5.9147816456621982E-3</v>
      </c>
      <c r="CI12">
        <f t="shared" si="4"/>
        <v>5.9547335112551669E-3</v>
      </c>
      <c r="CJ12">
        <f t="shared" si="4"/>
        <v>5.9977953300111315E-3</v>
      </c>
      <c r="CK12">
        <f t="shared" si="4"/>
        <v>6.0439671019300815E-3</v>
      </c>
      <c r="CL12">
        <f t="shared" si="4"/>
        <v>6.0932488270120273E-3</v>
      </c>
      <c r="CM12">
        <f t="shared" si="4"/>
        <v>6.1456405052569586E-3</v>
      </c>
      <c r="CN12">
        <f t="shared" si="4"/>
        <v>6.2011421366648858E-3</v>
      </c>
      <c r="CO12">
        <f t="shared" si="4"/>
        <v>6.259753721235807E-3</v>
      </c>
      <c r="CP12">
        <f t="shared" si="4"/>
        <v>6.3214752589697068E-3</v>
      </c>
      <c r="CQ12">
        <f t="shared" si="4"/>
        <v>6.3863067498666154E-3</v>
      </c>
      <c r="CR12">
        <f t="shared" si="4"/>
        <v>6.4542481939265043E-3</v>
      </c>
      <c r="CS12">
        <f t="shared" si="4"/>
        <v>6.5252995911493873E-3</v>
      </c>
      <c r="CT12">
        <f t="shared" si="4"/>
        <v>6.5994609415352644E-3</v>
      </c>
      <c r="CU12">
        <f t="shared" si="4"/>
        <v>6.6767322450841356E-3</v>
      </c>
      <c r="CV12">
        <f t="shared" si="4"/>
        <v>6.7571135017959871E-3</v>
      </c>
    </row>
    <row r="13" spans="1:100" x14ac:dyDescent="0.2">
      <c r="A13">
        <v>0.1888889</v>
      </c>
      <c r="B13">
        <f t="shared" si="0"/>
        <v>3.5679016543209999E-2</v>
      </c>
      <c r="C13">
        <v>32.5</v>
      </c>
      <c r="D13">
        <f t="shared" si="1"/>
        <v>1056.25</v>
      </c>
      <c r="E13">
        <f t="shared" si="2"/>
        <v>6.1388892500000001</v>
      </c>
      <c r="F13">
        <v>6.4555599999999999E-3</v>
      </c>
      <c r="S13">
        <v>31</v>
      </c>
      <c r="T13">
        <f t="shared" si="5"/>
        <v>1.0118896327801077E-2</v>
      </c>
      <c r="U13">
        <f t="shared" si="5"/>
        <v>9.9534960540538821E-3</v>
      </c>
      <c r="V13">
        <f t="shared" si="5"/>
        <v>9.7912057334696816E-3</v>
      </c>
      <c r="W13">
        <f t="shared" si="5"/>
        <v>9.6320253660484752E-3</v>
      </c>
      <c r="X13">
        <f t="shared" si="5"/>
        <v>9.4759549517902629E-3</v>
      </c>
      <c r="Y13">
        <f t="shared" si="5"/>
        <v>9.3229944906950309E-3</v>
      </c>
      <c r="Z13">
        <f t="shared" si="5"/>
        <v>9.1731439827627912E-3</v>
      </c>
      <c r="AA13">
        <f t="shared" si="5"/>
        <v>9.0264034279935335E-3</v>
      </c>
      <c r="AB13">
        <f t="shared" si="5"/>
        <v>8.8827728263872838E-3</v>
      </c>
      <c r="AC13">
        <f t="shared" si="5"/>
        <v>8.7422521779440283E-3</v>
      </c>
      <c r="AD13">
        <f t="shared" si="5"/>
        <v>8.6048414826637529E-3</v>
      </c>
      <c r="AE13">
        <f t="shared" si="5"/>
        <v>8.4705407405464717E-3</v>
      </c>
      <c r="AF13">
        <f t="shared" si="5"/>
        <v>8.3393499515921829E-3</v>
      </c>
      <c r="AG13">
        <f t="shared" si="5"/>
        <v>8.2112691158008899E-3</v>
      </c>
      <c r="AH13">
        <f t="shared" si="5"/>
        <v>8.0862982331725772E-3</v>
      </c>
      <c r="AI13">
        <f t="shared" si="5"/>
        <v>7.9644373037072655E-3</v>
      </c>
      <c r="AJ13">
        <f t="shared" si="8"/>
        <v>7.845686327404941E-3</v>
      </c>
      <c r="AK13">
        <f t="shared" si="8"/>
        <v>7.7300453042656028E-3</v>
      </c>
      <c r="AL13">
        <f t="shared" si="8"/>
        <v>7.6175142342892665E-3</v>
      </c>
      <c r="AM13">
        <f t="shared" si="8"/>
        <v>7.5080931174759174E-3</v>
      </c>
      <c r="AN13">
        <f t="shared" si="8"/>
        <v>7.4017819538255546E-3</v>
      </c>
      <c r="AO13">
        <f t="shared" si="8"/>
        <v>7.2985807433381938E-3</v>
      </c>
      <c r="AP13">
        <f t="shared" si="8"/>
        <v>7.1984894860138201E-3</v>
      </c>
      <c r="AQ13">
        <f t="shared" si="8"/>
        <v>7.1015081818524327E-3</v>
      </c>
      <c r="AR13">
        <f t="shared" si="8"/>
        <v>7.0076368308540403E-3</v>
      </c>
      <c r="AS13">
        <f t="shared" si="8"/>
        <v>6.9168754330186351E-3</v>
      </c>
      <c r="AT13">
        <f t="shared" si="8"/>
        <v>6.8292239883462301E-3</v>
      </c>
      <c r="AU13">
        <f t="shared" si="8"/>
        <v>6.7446824968368131E-3</v>
      </c>
      <c r="AV13">
        <f t="shared" si="8"/>
        <v>6.6632509584903833E-3</v>
      </c>
      <c r="AW13">
        <f t="shared" si="8"/>
        <v>6.5849293733069468E-3</v>
      </c>
      <c r="AX13">
        <f t="shared" si="8"/>
        <v>6.5097177412865052E-3</v>
      </c>
      <c r="AY13">
        <f t="shared" si="8"/>
        <v>6.4376160624290508E-3</v>
      </c>
      <c r="AZ13">
        <f t="shared" si="9"/>
        <v>6.3686243367345905E-3</v>
      </c>
      <c r="BA13">
        <f t="shared" si="9"/>
        <v>6.3027425642031166E-3</v>
      </c>
      <c r="BB13">
        <f t="shared" si="9"/>
        <v>6.2399707448346376E-3</v>
      </c>
      <c r="BC13">
        <f t="shared" si="9"/>
        <v>6.1803088786291527E-3</v>
      </c>
      <c r="BD13">
        <f t="shared" si="9"/>
        <v>6.1237569655866542E-3</v>
      </c>
      <c r="BE13">
        <f t="shared" si="9"/>
        <v>6.0703150057071506E-3</v>
      </c>
      <c r="BF13">
        <f t="shared" si="9"/>
        <v>6.0199829989906403E-3</v>
      </c>
      <c r="BG13">
        <f t="shared" si="9"/>
        <v>5.9727609454371181E-3</v>
      </c>
      <c r="BH13">
        <f t="shared" si="9"/>
        <v>5.928648845046583E-3</v>
      </c>
      <c r="BI13">
        <f t="shared" si="9"/>
        <v>5.887646697819042E-3</v>
      </c>
      <c r="BJ13">
        <f t="shared" si="9"/>
        <v>5.8497545037544943E-3</v>
      </c>
      <c r="BK13">
        <f t="shared" si="9"/>
        <v>5.8149722628529415E-3</v>
      </c>
      <c r="BL13">
        <f t="shared" si="9"/>
        <v>5.7832999751143751E-3</v>
      </c>
      <c r="BM13">
        <f t="shared" si="9"/>
        <v>5.7547376405388036E-3</v>
      </c>
      <c r="BN13">
        <f t="shared" si="9"/>
        <v>5.7292852591262194E-3</v>
      </c>
      <c r="BO13">
        <f t="shared" si="9"/>
        <v>5.7069428308766292E-3</v>
      </c>
      <c r="BP13">
        <f t="shared" si="10"/>
        <v>5.6877103557900332E-3</v>
      </c>
      <c r="BQ13">
        <f t="shared" si="10"/>
        <v>5.6715878338664235E-3</v>
      </c>
      <c r="BR13">
        <f t="shared" si="10"/>
        <v>5.6585752651058018E-3</v>
      </c>
      <c r="BS13">
        <f t="shared" si="10"/>
        <v>5.6486726495081803E-3</v>
      </c>
      <c r="BT13">
        <f t="shared" si="10"/>
        <v>5.6418799870735468E-3</v>
      </c>
      <c r="BU13">
        <f t="shared" si="10"/>
        <v>5.6381972778019006E-3</v>
      </c>
      <c r="BV13">
        <f t="shared" si="10"/>
        <v>5.6376245216932476E-3</v>
      </c>
      <c r="BW13">
        <f t="shared" si="10"/>
        <v>5.6401617187475965E-3</v>
      </c>
      <c r="BX13">
        <f t="shared" si="10"/>
        <v>5.6458088689649247E-3</v>
      </c>
      <c r="BY13">
        <f t="shared" si="10"/>
        <v>5.654565972345248E-3</v>
      </c>
      <c r="BZ13">
        <f t="shared" si="10"/>
        <v>5.6664330288885584E-3</v>
      </c>
      <c r="CA13">
        <f t="shared" si="10"/>
        <v>5.6814100385948699E-3</v>
      </c>
      <c r="CB13">
        <f t="shared" si="10"/>
        <v>5.6994970014641617E-3</v>
      </c>
      <c r="CC13">
        <f t="shared" si="10"/>
        <v>5.7206939174964545E-3</v>
      </c>
      <c r="CD13">
        <f t="shared" si="10"/>
        <v>5.7450007866917266E-3</v>
      </c>
      <c r="CE13">
        <f t="shared" si="10"/>
        <v>5.7724176090500068E-3</v>
      </c>
      <c r="CF13">
        <f t="shared" si="7"/>
        <v>5.802944384571268E-3</v>
      </c>
      <c r="CG13">
        <f t="shared" si="4"/>
        <v>5.8365811132555165E-3</v>
      </c>
      <c r="CH13">
        <f t="shared" si="4"/>
        <v>5.873327795102766E-3</v>
      </c>
      <c r="CI13">
        <f t="shared" si="4"/>
        <v>5.9131844301130018E-3</v>
      </c>
      <c r="CJ13">
        <f t="shared" si="4"/>
        <v>5.9561510182862317E-3</v>
      </c>
      <c r="CK13">
        <f t="shared" si="4"/>
        <v>6.0022275596224497E-3</v>
      </c>
      <c r="CL13">
        <f t="shared" si="4"/>
        <v>6.0514140541216618E-3</v>
      </c>
      <c r="CM13">
        <f t="shared" si="4"/>
        <v>6.103710501783861E-3</v>
      </c>
      <c r="CN13">
        <f t="shared" si="4"/>
        <v>6.1591169026090544E-3</v>
      </c>
      <c r="CO13">
        <f t="shared" si="4"/>
        <v>6.2176332565972419E-3</v>
      </c>
      <c r="CP13">
        <f t="shared" si="4"/>
        <v>6.2792595637484096E-3</v>
      </c>
      <c r="CQ13">
        <f t="shared" si="4"/>
        <v>6.3439958240625836E-3</v>
      </c>
      <c r="CR13">
        <f t="shared" si="4"/>
        <v>6.4118420375397396E-3</v>
      </c>
      <c r="CS13">
        <f t="shared" si="4"/>
        <v>6.4827982041798897E-3</v>
      </c>
      <c r="CT13">
        <f t="shared" si="4"/>
        <v>6.5568643239830339E-3</v>
      </c>
      <c r="CU13">
        <f t="shared" si="4"/>
        <v>6.6340403969491714E-3</v>
      </c>
      <c r="CV13">
        <f t="shared" si="4"/>
        <v>6.7143264230782899E-3</v>
      </c>
    </row>
    <row r="14" spans="1:100" x14ac:dyDescent="0.2">
      <c r="A14">
        <v>0.27777780000000002</v>
      </c>
      <c r="B14">
        <f t="shared" si="0"/>
        <v>7.716050617284001E-2</v>
      </c>
      <c r="C14">
        <v>32.5</v>
      </c>
      <c r="D14">
        <f t="shared" si="1"/>
        <v>1056.25</v>
      </c>
      <c r="E14">
        <f t="shared" si="2"/>
        <v>9.0277785000000002</v>
      </c>
      <c r="F14">
        <v>5.3814800000000001E-3</v>
      </c>
      <c r="S14">
        <v>31.1</v>
      </c>
      <c r="T14">
        <f t="shared" si="5"/>
        <v>1.008462814942887E-2</v>
      </c>
      <c r="U14">
        <f t="shared" si="5"/>
        <v>9.9191326450989419E-3</v>
      </c>
      <c r="V14">
        <f t="shared" si="5"/>
        <v>9.7567470939320076E-3</v>
      </c>
      <c r="W14">
        <f t="shared" si="5"/>
        <v>9.5974714959280675E-3</v>
      </c>
      <c r="X14">
        <f t="shared" si="5"/>
        <v>9.4413058510871214E-3</v>
      </c>
      <c r="Y14">
        <f t="shared" si="5"/>
        <v>9.2882501594091556E-3</v>
      </c>
      <c r="Z14">
        <f t="shared" si="5"/>
        <v>9.138304420894184E-3</v>
      </c>
      <c r="AA14">
        <f t="shared" si="5"/>
        <v>8.9914686355421942E-3</v>
      </c>
      <c r="AB14">
        <f t="shared" si="5"/>
        <v>8.8477428033532108E-3</v>
      </c>
      <c r="AC14">
        <f t="shared" si="5"/>
        <v>8.7071269243272215E-3</v>
      </c>
      <c r="AD14">
        <f t="shared" si="5"/>
        <v>8.5696209984642124E-3</v>
      </c>
      <c r="AE14">
        <f t="shared" si="5"/>
        <v>8.4352250257641974E-3</v>
      </c>
      <c r="AF14">
        <f t="shared" si="5"/>
        <v>8.3039390062271765E-3</v>
      </c>
      <c r="AG14">
        <f t="shared" si="5"/>
        <v>8.1757629398531498E-3</v>
      </c>
      <c r="AH14">
        <f t="shared" si="5"/>
        <v>8.050696826642105E-3</v>
      </c>
      <c r="AI14">
        <f t="shared" si="5"/>
        <v>7.9287406665940596E-3</v>
      </c>
      <c r="AJ14">
        <f t="shared" si="8"/>
        <v>7.8098944597090013E-3</v>
      </c>
      <c r="AK14">
        <f t="shared" si="8"/>
        <v>7.6941582059869302E-3</v>
      </c>
      <c r="AL14">
        <f t="shared" si="8"/>
        <v>7.5815319054278602E-3</v>
      </c>
      <c r="AM14">
        <f t="shared" si="8"/>
        <v>7.4720155580317782E-3</v>
      </c>
      <c r="AN14">
        <f t="shared" si="8"/>
        <v>7.3656091637986825E-3</v>
      </c>
      <c r="AO14">
        <f t="shared" si="8"/>
        <v>7.2623127227285887E-3</v>
      </c>
      <c r="AP14">
        <f t="shared" si="8"/>
        <v>7.1621262348214813E-3</v>
      </c>
      <c r="AQ14">
        <f t="shared" si="8"/>
        <v>7.065049700077361E-3</v>
      </c>
      <c r="AR14">
        <f t="shared" si="8"/>
        <v>6.9710831184962348E-3</v>
      </c>
      <c r="AS14">
        <f t="shared" si="8"/>
        <v>6.8802264900780967E-3</v>
      </c>
      <c r="AT14">
        <f t="shared" si="8"/>
        <v>6.7924798148229588E-3</v>
      </c>
      <c r="AU14">
        <f t="shared" si="8"/>
        <v>6.7078430927308089E-3</v>
      </c>
      <c r="AV14">
        <f t="shared" si="8"/>
        <v>6.6263163238016454E-3</v>
      </c>
      <c r="AW14">
        <f t="shared" si="8"/>
        <v>6.5478995080354759E-3</v>
      </c>
      <c r="AX14">
        <f t="shared" si="8"/>
        <v>6.4725926454323006E-3</v>
      </c>
      <c r="AY14">
        <f t="shared" si="8"/>
        <v>6.4003957359921133E-3</v>
      </c>
      <c r="AZ14">
        <f t="shared" si="9"/>
        <v>6.3313087797149193E-3</v>
      </c>
      <c r="BA14">
        <f t="shared" si="9"/>
        <v>6.2653317766007124E-3</v>
      </c>
      <c r="BB14">
        <f t="shared" si="9"/>
        <v>6.2024647266495005E-3</v>
      </c>
      <c r="BC14">
        <f t="shared" si="9"/>
        <v>6.1427076298612819E-3</v>
      </c>
      <c r="BD14">
        <f t="shared" si="9"/>
        <v>6.0860604862360505E-3</v>
      </c>
      <c r="BE14">
        <f t="shared" si="9"/>
        <v>6.0325232957738131E-3</v>
      </c>
      <c r="BF14">
        <f t="shared" si="9"/>
        <v>5.9820960584745708E-3</v>
      </c>
      <c r="BG14">
        <f t="shared" si="9"/>
        <v>5.9347787743383148E-3</v>
      </c>
      <c r="BH14">
        <f t="shared" si="9"/>
        <v>5.8905714433650459E-3</v>
      </c>
      <c r="BI14">
        <f t="shared" si="9"/>
        <v>5.849474065554772E-3</v>
      </c>
      <c r="BJ14">
        <f t="shared" si="9"/>
        <v>5.8114866409074914E-3</v>
      </c>
      <c r="BK14">
        <f t="shared" si="9"/>
        <v>5.7766091694232049E-3</v>
      </c>
      <c r="BL14">
        <f t="shared" si="9"/>
        <v>5.7448416511019056E-3</v>
      </c>
      <c r="BM14">
        <f t="shared" si="9"/>
        <v>5.7161840859436012E-3</v>
      </c>
      <c r="BN14">
        <f t="shared" si="9"/>
        <v>5.6906364739482832E-3</v>
      </c>
      <c r="BO14">
        <f t="shared" si="9"/>
        <v>5.6681988151159601E-3</v>
      </c>
      <c r="BP14">
        <f t="shared" si="10"/>
        <v>5.6488711094466303E-3</v>
      </c>
      <c r="BQ14">
        <f t="shared" si="10"/>
        <v>5.6326533569402877E-3</v>
      </c>
      <c r="BR14">
        <f t="shared" si="10"/>
        <v>5.6195455575969323E-3</v>
      </c>
      <c r="BS14">
        <f t="shared" si="10"/>
        <v>5.6095477114165787E-3</v>
      </c>
      <c r="BT14">
        <f t="shared" si="10"/>
        <v>5.6026598183992115E-3</v>
      </c>
      <c r="BU14">
        <f t="shared" si="10"/>
        <v>5.5988818785448315E-3</v>
      </c>
      <c r="BV14">
        <f t="shared" si="10"/>
        <v>5.5982138918534465E-3</v>
      </c>
      <c r="BW14">
        <f t="shared" si="10"/>
        <v>5.6006558583250616E-3</v>
      </c>
      <c r="BX14">
        <f t="shared" si="10"/>
        <v>5.606207777959657E-3</v>
      </c>
      <c r="BY14">
        <f t="shared" si="10"/>
        <v>5.6148696507572465E-3</v>
      </c>
      <c r="BZ14">
        <f t="shared" si="10"/>
        <v>5.6266414767178231E-3</v>
      </c>
      <c r="CA14">
        <f t="shared" si="10"/>
        <v>5.6415232558414026E-3</v>
      </c>
      <c r="CB14">
        <f t="shared" si="10"/>
        <v>5.6595149881279606E-3</v>
      </c>
      <c r="CC14">
        <f t="shared" si="10"/>
        <v>5.6806166735775196E-3</v>
      </c>
      <c r="CD14">
        <f t="shared" si="10"/>
        <v>5.7048283121900589E-3</v>
      </c>
      <c r="CE14">
        <f t="shared" si="10"/>
        <v>5.7321499039656061E-3</v>
      </c>
      <c r="CF14">
        <f t="shared" si="7"/>
        <v>5.7625814489041345E-3</v>
      </c>
      <c r="CG14">
        <f t="shared" si="4"/>
        <v>5.7961229470056492E-3</v>
      </c>
      <c r="CH14">
        <f t="shared" si="4"/>
        <v>5.8327743982701649E-3</v>
      </c>
      <c r="CI14">
        <f t="shared" si="4"/>
        <v>5.8725358026976687E-3</v>
      </c>
      <c r="CJ14">
        <f t="shared" si="4"/>
        <v>5.9154071602881657E-3</v>
      </c>
      <c r="CK14">
        <f t="shared" si="4"/>
        <v>5.9613884710416499E-3</v>
      </c>
      <c r="CL14">
        <f t="shared" si="4"/>
        <v>6.0104797349581282E-3</v>
      </c>
      <c r="CM14">
        <f t="shared" si="4"/>
        <v>6.0626809520375937E-3</v>
      </c>
      <c r="CN14">
        <f t="shared" si="4"/>
        <v>6.1179921222800551E-3</v>
      </c>
      <c r="CO14">
        <f t="shared" si="4"/>
        <v>6.1764132456855088E-3</v>
      </c>
      <c r="CP14">
        <f t="shared" si="4"/>
        <v>6.2379443222539428E-3</v>
      </c>
      <c r="CQ14">
        <f t="shared" si="4"/>
        <v>6.3025853519853847E-3</v>
      </c>
      <c r="CR14">
        <f t="shared" si="4"/>
        <v>6.3703363348798069E-3</v>
      </c>
      <c r="CS14">
        <f t="shared" si="4"/>
        <v>6.4411972709372232E-3</v>
      </c>
      <c r="CT14">
        <f t="shared" si="4"/>
        <v>6.5151681601576346E-3</v>
      </c>
      <c r="CU14">
        <f t="shared" si="4"/>
        <v>6.59224900254104E-3</v>
      </c>
      <c r="CV14">
        <f t="shared" si="4"/>
        <v>6.6724397980874248E-3</v>
      </c>
    </row>
    <row r="15" spans="1:100" x14ac:dyDescent="0.2">
      <c r="A15">
        <v>0.36666670000000001</v>
      </c>
      <c r="B15">
        <f t="shared" si="0"/>
        <v>0.13444446888889</v>
      </c>
      <c r="C15">
        <v>32.5</v>
      </c>
      <c r="D15">
        <f t="shared" si="1"/>
        <v>1056.25</v>
      </c>
      <c r="E15">
        <f t="shared" si="2"/>
        <v>11.91666775</v>
      </c>
      <c r="F15">
        <v>5.0777799999999996E-3</v>
      </c>
      <c r="S15">
        <v>31.2</v>
      </c>
      <c r="T15">
        <f t="shared" si="5"/>
        <v>1.005126042478348E-2</v>
      </c>
      <c r="U15">
        <f t="shared" si="5"/>
        <v>9.8856696898708182E-3</v>
      </c>
      <c r="V15">
        <f t="shared" si="5"/>
        <v>9.7231889081211519E-3</v>
      </c>
      <c r="W15">
        <f t="shared" si="5"/>
        <v>9.5638180795344779E-3</v>
      </c>
      <c r="X15">
        <f t="shared" si="5"/>
        <v>9.4075572041107999E-3</v>
      </c>
      <c r="Y15">
        <f t="shared" si="5"/>
        <v>9.2544062818501003E-3</v>
      </c>
      <c r="Z15">
        <f t="shared" si="5"/>
        <v>9.1043653127523966E-3</v>
      </c>
      <c r="AA15">
        <f t="shared" si="5"/>
        <v>8.9574342968176714E-3</v>
      </c>
      <c r="AB15">
        <f t="shared" si="5"/>
        <v>8.8136132340459541E-3</v>
      </c>
      <c r="AC15">
        <f t="shared" si="5"/>
        <v>8.6729021244372328E-3</v>
      </c>
      <c r="AD15">
        <f t="shared" si="5"/>
        <v>8.5353009679914899E-3</v>
      </c>
      <c r="AE15">
        <f t="shared" si="5"/>
        <v>8.4008097647087429E-3</v>
      </c>
      <c r="AF15">
        <f t="shared" si="5"/>
        <v>8.2694285145889883E-3</v>
      </c>
      <c r="AG15">
        <f t="shared" si="5"/>
        <v>8.1411572176322295E-3</v>
      </c>
      <c r="AH15">
        <f t="shared" si="5"/>
        <v>8.0159958738384492E-3</v>
      </c>
      <c r="AI15">
        <f t="shared" si="5"/>
        <v>7.8939444832076718E-3</v>
      </c>
      <c r="AJ15">
        <f t="shared" si="8"/>
        <v>7.7750030457398797E-3</v>
      </c>
      <c r="AK15">
        <f t="shared" si="8"/>
        <v>7.6591715614350757E-3</v>
      </c>
      <c r="AL15">
        <f t="shared" si="8"/>
        <v>7.5464500302932728E-3</v>
      </c>
      <c r="AM15">
        <f t="shared" si="8"/>
        <v>7.436838452314457E-3</v>
      </c>
      <c r="AN15">
        <f t="shared" si="8"/>
        <v>7.3303368274986284E-3</v>
      </c>
      <c r="AO15">
        <f t="shared" si="8"/>
        <v>7.2269451558458009E-3</v>
      </c>
      <c r="AP15">
        <f t="shared" si="8"/>
        <v>7.1266634373559606E-3</v>
      </c>
      <c r="AQ15">
        <f t="shared" si="8"/>
        <v>7.0294916720291074E-3</v>
      </c>
      <c r="AR15">
        <f t="shared" si="8"/>
        <v>6.9354298598652483E-3</v>
      </c>
      <c r="AS15">
        <f t="shared" si="8"/>
        <v>6.8444780008643765E-3</v>
      </c>
      <c r="AT15">
        <f t="shared" si="8"/>
        <v>6.7566360950265057E-3</v>
      </c>
      <c r="AU15">
        <f t="shared" si="8"/>
        <v>6.671904142351622E-3</v>
      </c>
      <c r="AV15">
        <f t="shared" si="8"/>
        <v>6.5902821428397255E-3</v>
      </c>
      <c r="AW15">
        <f t="shared" si="8"/>
        <v>6.5117700964908223E-3</v>
      </c>
      <c r="AX15">
        <f t="shared" si="8"/>
        <v>6.436368003304915E-3</v>
      </c>
      <c r="AY15">
        <f t="shared" si="8"/>
        <v>6.3640758632819939E-3</v>
      </c>
      <c r="AZ15">
        <f t="shared" si="9"/>
        <v>6.294893676422067E-3</v>
      </c>
      <c r="BA15">
        <f t="shared" si="9"/>
        <v>6.2288214427251264E-3</v>
      </c>
      <c r="BB15">
        <f t="shared" si="9"/>
        <v>6.1658591621911807E-3</v>
      </c>
      <c r="BC15">
        <f t="shared" si="9"/>
        <v>6.1060068348202292E-3</v>
      </c>
      <c r="BD15">
        <f t="shared" si="9"/>
        <v>6.0492644606122649E-3</v>
      </c>
      <c r="BE15">
        <f t="shared" si="9"/>
        <v>5.9956320395672946E-3</v>
      </c>
      <c r="BF15">
        <f t="shared" si="9"/>
        <v>5.9451095716853185E-3</v>
      </c>
      <c r="BG15">
        <f t="shared" si="9"/>
        <v>5.8976970569663296E-3</v>
      </c>
      <c r="BH15">
        <f t="shared" si="9"/>
        <v>5.8533944954103278E-3</v>
      </c>
      <c r="BI15">
        <f t="shared" si="9"/>
        <v>5.8122018870173202E-3</v>
      </c>
      <c r="BJ15">
        <f t="shared" si="9"/>
        <v>5.7741192317873067E-3</v>
      </c>
      <c r="BK15">
        <f t="shared" si="9"/>
        <v>5.7391465297202873E-3</v>
      </c>
      <c r="BL15">
        <f t="shared" si="9"/>
        <v>5.7072837808162542E-3</v>
      </c>
      <c r="BM15">
        <f t="shared" si="9"/>
        <v>5.6785309850752169E-3</v>
      </c>
      <c r="BN15">
        <f t="shared" si="9"/>
        <v>5.6528881424971651E-3</v>
      </c>
      <c r="BO15">
        <f t="shared" si="9"/>
        <v>5.6303552530821092E-3</v>
      </c>
      <c r="BP15">
        <f t="shared" si="10"/>
        <v>5.6109323168300465E-3</v>
      </c>
      <c r="BQ15">
        <f t="shared" si="10"/>
        <v>5.594619333740971E-3</v>
      </c>
      <c r="BR15">
        <f t="shared" si="10"/>
        <v>5.5814163038148817E-3</v>
      </c>
      <c r="BS15">
        <f t="shared" si="10"/>
        <v>5.5713232270517953E-3</v>
      </c>
      <c r="BT15">
        <f t="shared" si="10"/>
        <v>5.5643401034516943E-3</v>
      </c>
      <c r="BU15">
        <f t="shared" si="10"/>
        <v>5.5604669330145814E-3</v>
      </c>
      <c r="BV15">
        <f t="shared" si="10"/>
        <v>5.5597037157404626E-3</v>
      </c>
      <c r="BW15">
        <f t="shared" si="10"/>
        <v>5.5620504516293448E-3</v>
      </c>
      <c r="BX15">
        <f t="shared" si="10"/>
        <v>5.5675071406812073E-3</v>
      </c>
      <c r="BY15">
        <f t="shared" si="10"/>
        <v>5.576073782896063E-3</v>
      </c>
      <c r="BZ15">
        <f t="shared" si="10"/>
        <v>5.5877503782739077E-3</v>
      </c>
      <c r="CA15">
        <f t="shared" si="10"/>
        <v>5.6025369268147525E-3</v>
      </c>
      <c r="CB15">
        <f t="shared" si="10"/>
        <v>5.6204334285185776E-3</v>
      </c>
      <c r="CC15">
        <f t="shared" si="10"/>
        <v>5.6414398833854037E-3</v>
      </c>
      <c r="CD15">
        <f t="shared" si="10"/>
        <v>5.6655562914152101E-3</v>
      </c>
      <c r="CE15">
        <f t="shared" si="10"/>
        <v>5.6927826526080244E-3</v>
      </c>
      <c r="CF15">
        <f t="shared" si="7"/>
        <v>5.723118966963819E-3</v>
      </c>
      <c r="CG15">
        <f t="shared" si="4"/>
        <v>5.7565652344825999E-3</v>
      </c>
      <c r="CH15">
        <f t="shared" si="4"/>
        <v>5.7931214551643836E-3</v>
      </c>
      <c r="CI15">
        <f t="shared" si="4"/>
        <v>5.8327876290091528E-3</v>
      </c>
      <c r="CJ15">
        <f t="shared" si="4"/>
        <v>5.8755637560169169E-3</v>
      </c>
      <c r="CK15">
        <f t="shared" si="4"/>
        <v>5.9214498361876682E-3</v>
      </c>
      <c r="CL15">
        <f t="shared" si="4"/>
        <v>5.9704458695214136E-3</v>
      </c>
      <c r="CM15">
        <f t="shared" si="4"/>
        <v>6.0225518560181462E-3</v>
      </c>
      <c r="CN15">
        <f t="shared" si="4"/>
        <v>6.0777677956778738E-3</v>
      </c>
      <c r="CO15">
        <f t="shared" si="4"/>
        <v>6.1360936885005938E-3</v>
      </c>
      <c r="CP15">
        <f t="shared" si="4"/>
        <v>6.1975295344862957E-3</v>
      </c>
      <c r="CQ15">
        <f t="shared" si="4"/>
        <v>6.2620753336350039E-3</v>
      </c>
      <c r="CR15">
        <f t="shared" si="4"/>
        <v>6.3297310859466932E-3</v>
      </c>
      <c r="CS15">
        <f t="shared" si="4"/>
        <v>6.4004967914213767E-3</v>
      </c>
      <c r="CT15">
        <f t="shared" si="4"/>
        <v>6.4743724500590533E-3</v>
      </c>
      <c r="CU15">
        <f t="shared" si="4"/>
        <v>6.5513580618597259E-3</v>
      </c>
      <c r="CV15">
        <f t="shared" si="4"/>
        <v>6.6314536268233769E-3</v>
      </c>
    </row>
    <row r="16" spans="1:100" x14ac:dyDescent="0.2">
      <c r="A16">
        <v>0.4555556</v>
      </c>
      <c r="B16">
        <f t="shared" si="0"/>
        <v>0.20753090469136001</v>
      </c>
      <c r="C16">
        <v>32.5</v>
      </c>
      <c r="D16">
        <f t="shared" si="1"/>
        <v>1056.25</v>
      </c>
      <c r="E16">
        <f t="shared" si="2"/>
        <v>14.805557</v>
      </c>
      <c r="F16">
        <v>5.0000000000000001E-3</v>
      </c>
      <c r="S16">
        <v>31.3</v>
      </c>
      <c r="T16">
        <f t="shared" si="5"/>
        <v>1.0018793153864902E-2</v>
      </c>
      <c r="U16">
        <f t="shared" si="5"/>
        <v>9.8531071883695073E-3</v>
      </c>
      <c r="V16">
        <f t="shared" si="5"/>
        <v>9.6905311760371055E-3</v>
      </c>
      <c r="W16">
        <f t="shared" si="5"/>
        <v>9.5310651168676996E-3</v>
      </c>
      <c r="X16">
        <f t="shared" si="5"/>
        <v>9.3747090108612877E-3</v>
      </c>
      <c r="Y16">
        <f t="shared" si="5"/>
        <v>9.2214628580178561E-3</v>
      </c>
      <c r="Z16">
        <f t="shared" si="5"/>
        <v>9.0713266583374186E-3</v>
      </c>
      <c r="AA16">
        <f t="shared" si="5"/>
        <v>8.9243004118199597E-3</v>
      </c>
      <c r="AB16">
        <f t="shared" si="5"/>
        <v>8.7803841184655104E-3</v>
      </c>
      <c r="AC16">
        <f t="shared" si="5"/>
        <v>8.6395777782740553E-3</v>
      </c>
      <c r="AD16">
        <f t="shared" si="5"/>
        <v>8.5018813912455804E-3</v>
      </c>
      <c r="AE16">
        <f t="shared" si="5"/>
        <v>8.3672949573800996E-3</v>
      </c>
      <c r="AF16">
        <f t="shared" si="5"/>
        <v>8.2358184766776112E-3</v>
      </c>
      <c r="AG16">
        <f t="shared" si="5"/>
        <v>8.1074519491381187E-3</v>
      </c>
      <c r="AH16">
        <f t="shared" si="5"/>
        <v>7.9821953747616064E-3</v>
      </c>
      <c r="AI16">
        <f t="shared" si="5"/>
        <v>7.8600487535480951E-3</v>
      </c>
      <c r="AJ16">
        <f t="shared" si="8"/>
        <v>7.7410120854975702E-3</v>
      </c>
      <c r="AK16">
        <f t="shared" si="8"/>
        <v>7.6250853706100324E-3</v>
      </c>
      <c r="AL16">
        <f t="shared" si="8"/>
        <v>7.5122686088854966E-3</v>
      </c>
      <c r="AM16">
        <f t="shared" si="8"/>
        <v>7.4025618003239479E-3</v>
      </c>
      <c r="AN16">
        <f t="shared" si="8"/>
        <v>7.2959649449253856E-3</v>
      </c>
      <c r="AO16">
        <f t="shared" si="8"/>
        <v>7.1924780426898252E-3</v>
      </c>
      <c r="AP16">
        <f t="shared" si="8"/>
        <v>7.0921010936172511E-3</v>
      </c>
      <c r="AQ16">
        <f t="shared" si="8"/>
        <v>6.994834097707665E-3</v>
      </c>
      <c r="AR16">
        <f t="shared" si="8"/>
        <v>6.9006770549610722E-3</v>
      </c>
      <c r="AS16">
        <f t="shared" si="8"/>
        <v>6.8096299653774674E-3</v>
      </c>
      <c r="AT16">
        <f t="shared" si="8"/>
        <v>6.7216928289568637E-3</v>
      </c>
      <c r="AU16">
        <f t="shared" si="8"/>
        <v>6.6368656456992463E-3</v>
      </c>
      <c r="AV16">
        <f t="shared" si="8"/>
        <v>6.5551484156046169E-3</v>
      </c>
      <c r="AW16">
        <f t="shared" si="8"/>
        <v>6.4765411386729808E-3</v>
      </c>
      <c r="AX16">
        <f t="shared" si="8"/>
        <v>6.4010438149043397E-3</v>
      </c>
      <c r="AY16">
        <f t="shared" si="8"/>
        <v>6.3286564442986849E-3</v>
      </c>
      <c r="AZ16">
        <f t="shared" si="9"/>
        <v>6.259379026856025E-3</v>
      </c>
      <c r="BA16">
        <f t="shared" si="9"/>
        <v>6.1932115625763524E-3</v>
      </c>
      <c r="BB16">
        <f t="shared" si="9"/>
        <v>6.130154051459673E-3</v>
      </c>
      <c r="BC16">
        <f t="shared" si="9"/>
        <v>6.0702064935059885E-3</v>
      </c>
      <c r="BD16">
        <f t="shared" si="9"/>
        <v>6.0133688887152904E-3</v>
      </c>
      <c r="BE16">
        <f t="shared" si="9"/>
        <v>5.9596412370875873E-3</v>
      </c>
      <c r="BF16">
        <f t="shared" si="9"/>
        <v>5.9090235386228774E-3</v>
      </c>
      <c r="BG16">
        <f t="shared" si="9"/>
        <v>5.8615157933211556E-3</v>
      </c>
      <c r="BH16">
        <f t="shared" si="9"/>
        <v>5.8171180011824201E-3</v>
      </c>
      <c r="BI16">
        <f t="shared" si="9"/>
        <v>5.7758301622066795E-3</v>
      </c>
      <c r="BJ16">
        <f t="shared" si="9"/>
        <v>5.7376522763939331E-3</v>
      </c>
      <c r="BK16">
        <f t="shared" si="9"/>
        <v>5.7025843437441799E-3</v>
      </c>
      <c r="BL16">
        <f t="shared" si="9"/>
        <v>5.670626364257414E-3</v>
      </c>
      <c r="BM16">
        <f t="shared" si="9"/>
        <v>5.6417783379336429E-3</v>
      </c>
      <c r="BN16">
        <f t="shared" si="9"/>
        <v>5.6160402647728591E-3</v>
      </c>
      <c r="BO16">
        <f t="shared" si="9"/>
        <v>5.5934121447750694E-3</v>
      </c>
      <c r="BP16">
        <f t="shared" si="10"/>
        <v>5.5738939779402729E-3</v>
      </c>
      <c r="BQ16">
        <f t="shared" si="10"/>
        <v>5.5574857642684645E-3</v>
      </c>
      <c r="BR16">
        <f t="shared" si="10"/>
        <v>5.5441875037596424E-3</v>
      </c>
      <c r="BS16">
        <f t="shared" si="10"/>
        <v>5.5339991964138222E-3</v>
      </c>
      <c r="BT16">
        <f t="shared" si="10"/>
        <v>5.5269208422309892E-3</v>
      </c>
      <c r="BU16">
        <f t="shared" si="10"/>
        <v>5.5229524412111425E-3</v>
      </c>
      <c r="BV16">
        <f t="shared" si="10"/>
        <v>5.5220939933542899E-3</v>
      </c>
      <c r="BW16">
        <f t="shared" si="10"/>
        <v>5.5243454986604393E-3</v>
      </c>
      <c r="BX16">
        <f t="shared" si="10"/>
        <v>5.5297069571295689E-3</v>
      </c>
      <c r="BY16">
        <f t="shared" si="10"/>
        <v>5.5381783687616917E-3</v>
      </c>
      <c r="BZ16">
        <f t="shared" si="10"/>
        <v>5.5497597335568017E-3</v>
      </c>
      <c r="CA16">
        <f t="shared" si="10"/>
        <v>5.5644510515149136E-3</v>
      </c>
      <c r="CB16">
        <f t="shared" si="10"/>
        <v>5.5822523226360058E-3</v>
      </c>
      <c r="CC16">
        <f t="shared" si="10"/>
        <v>5.603163546920099E-3</v>
      </c>
      <c r="CD16">
        <f t="shared" si="10"/>
        <v>5.6271847243671725E-3</v>
      </c>
      <c r="CE16">
        <f t="shared" si="10"/>
        <v>5.6543158549772531E-3</v>
      </c>
      <c r="CF16">
        <f t="shared" si="7"/>
        <v>5.6845569387503139E-3</v>
      </c>
      <c r="CG16">
        <f t="shared" si="4"/>
        <v>5.7179079756863628E-3</v>
      </c>
      <c r="CH16">
        <f t="shared" si="4"/>
        <v>5.7543689657854119E-3</v>
      </c>
      <c r="CI16">
        <f t="shared" si="4"/>
        <v>5.7939399090474481E-3</v>
      </c>
      <c r="CJ16">
        <f t="shared" si="4"/>
        <v>5.8366208054724793E-3</v>
      </c>
      <c r="CK16">
        <f t="shared" si="4"/>
        <v>5.8824116550604977E-3</v>
      </c>
      <c r="CL16">
        <f t="shared" si="4"/>
        <v>5.9313124578115103E-3</v>
      </c>
      <c r="CM16">
        <f t="shared" si="4"/>
        <v>5.9833232137255091E-3</v>
      </c>
      <c r="CN16">
        <f t="shared" si="4"/>
        <v>6.0384439228025029E-3</v>
      </c>
      <c r="CO16">
        <f t="shared" si="4"/>
        <v>6.09667458504249E-3</v>
      </c>
      <c r="CP16">
        <f t="shared" si="4"/>
        <v>6.1580152004454582E-3</v>
      </c>
      <c r="CQ16">
        <f t="shared" si="4"/>
        <v>6.2224657690114343E-3</v>
      </c>
      <c r="CR16">
        <f t="shared" si="4"/>
        <v>6.2900262907403899E-3</v>
      </c>
      <c r="CS16">
        <f t="shared" si="4"/>
        <v>6.3606967656323395E-3</v>
      </c>
      <c r="CT16">
        <f t="shared" si="4"/>
        <v>6.4344771936872842E-3</v>
      </c>
      <c r="CU16">
        <f t="shared" si="4"/>
        <v>6.5113675749052229E-3</v>
      </c>
      <c r="CV16">
        <f t="shared" si="4"/>
        <v>6.5913679092861419E-3</v>
      </c>
    </row>
    <row r="17" spans="1:100" x14ac:dyDescent="0.2">
      <c r="A17">
        <v>0.54444440000000005</v>
      </c>
      <c r="B17">
        <f t="shared" si="0"/>
        <v>0.29641970469136003</v>
      </c>
      <c r="C17">
        <v>32.5</v>
      </c>
      <c r="D17">
        <f t="shared" si="1"/>
        <v>1056.25</v>
      </c>
      <c r="E17">
        <f t="shared" si="2"/>
        <v>17.694443000000003</v>
      </c>
      <c r="F17">
        <v>5.0444399999999999E-3</v>
      </c>
      <c r="S17">
        <v>31.4</v>
      </c>
      <c r="T17">
        <f t="shared" si="5"/>
        <v>9.9872263366731478E-3</v>
      </c>
      <c r="U17">
        <f t="shared" si="5"/>
        <v>9.8214451405950198E-3</v>
      </c>
      <c r="V17">
        <f t="shared" si="5"/>
        <v>9.658773897679886E-3</v>
      </c>
      <c r="W17">
        <f t="shared" si="5"/>
        <v>9.4992126079277463E-3</v>
      </c>
      <c r="X17">
        <f t="shared" si="5"/>
        <v>9.3427612713386007E-3</v>
      </c>
      <c r="Y17">
        <f t="shared" si="5"/>
        <v>9.189419887912437E-3</v>
      </c>
      <c r="Z17">
        <f t="shared" si="5"/>
        <v>9.0391884576492658E-3</v>
      </c>
      <c r="AA17">
        <f t="shared" si="5"/>
        <v>8.8920669805490748E-3</v>
      </c>
      <c r="AB17">
        <f t="shared" si="5"/>
        <v>8.7480554566118918E-3</v>
      </c>
      <c r="AC17">
        <f t="shared" si="5"/>
        <v>8.6071538858377029E-3</v>
      </c>
      <c r="AD17">
        <f t="shared" si="5"/>
        <v>8.4693622682264942E-3</v>
      </c>
      <c r="AE17">
        <f t="shared" si="5"/>
        <v>8.3346806037782797E-3</v>
      </c>
      <c r="AF17">
        <f t="shared" si="5"/>
        <v>8.2031088924930592E-3</v>
      </c>
      <c r="AG17">
        <f t="shared" si="5"/>
        <v>8.0746471343708329E-3</v>
      </c>
      <c r="AH17">
        <f t="shared" si="5"/>
        <v>7.9492953294115869E-3</v>
      </c>
      <c r="AI17">
        <f t="shared" si="5"/>
        <v>7.8270534776153436E-3</v>
      </c>
      <c r="AJ17">
        <f t="shared" si="8"/>
        <v>7.7079215789820849E-3</v>
      </c>
      <c r="AK17">
        <f t="shared" si="8"/>
        <v>7.5918996335118142E-3</v>
      </c>
      <c r="AL17">
        <f t="shared" si="8"/>
        <v>7.4789876412045455E-3</v>
      </c>
      <c r="AM17">
        <f t="shared" si="8"/>
        <v>7.3691856020602631E-3</v>
      </c>
      <c r="AN17">
        <f t="shared" si="8"/>
        <v>7.2624935160789678E-3</v>
      </c>
      <c r="AO17">
        <f t="shared" si="8"/>
        <v>7.1589113832606736E-3</v>
      </c>
      <c r="AP17">
        <f t="shared" si="8"/>
        <v>7.0584392036053666E-3</v>
      </c>
      <c r="AQ17">
        <f t="shared" si="8"/>
        <v>6.9610769771130468E-3</v>
      </c>
      <c r="AR17">
        <f t="shared" si="8"/>
        <v>6.8668247037837219E-3</v>
      </c>
      <c r="AS17">
        <f t="shared" si="8"/>
        <v>6.7756823836173834E-3</v>
      </c>
      <c r="AT17">
        <f t="shared" si="8"/>
        <v>6.6876500166140468E-3</v>
      </c>
      <c r="AU17">
        <f t="shared" si="8"/>
        <v>6.6027276027736965E-3</v>
      </c>
      <c r="AV17">
        <f t="shared" si="8"/>
        <v>6.5209151420963334E-3</v>
      </c>
      <c r="AW17">
        <f t="shared" si="8"/>
        <v>6.4422126345819643E-3</v>
      </c>
      <c r="AX17">
        <f t="shared" si="8"/>
        <v>6.3666200802305895E-3</v>
      </c>
      <c r="AY17">
        <f t="shared" si="8"/>
        <v>6.2941374790422017E-3</v>
      </c>
      <c r="AZ17">
        <f t="shared" si="9"/>
        <v>6.224764831016809E-3</v>
      </c>
      <c r="BA17">
        <f t="shared" si="9"/>
        <v>6.1585021361544026E-3</v>
      </c>
      <c r="BB17">
        <f t="shared" si="9"/>
        <v>6.0953493944549903E-3</v>
      </c>
      <c r="BC17">
        <f t="shared" si="9"/>
        <v>6.0353066059185721E-3</v>
      </c>
      <c r="BD17">
        <f t="shared" si="9"/>
        <v>5.9783737705451411E-3</v>
      </c>
      <c r="BE17">
        <f t="shared" si="9"/>
        <v>5.9245508883347051E-3</v>
      </c>
      <c r="BF17">
        <f t="shared" si="9"/>
        <v>5.8738379592872623E-3</v>
      </c>
      <c r="BG17">
        <f t="shared" si="9"/>
        <v>5.8262349834028067E-3</v>
      </c>
      <c r="BH17">
        <f t="shared" si="9"/>
        <v>5.7817419606813383E-3</v>
      </c>
      <c r="BI17">
        <f t="shared" si="9"/>
        <v>5.740358891122864E-3</v>
      </c>
      <c r="BJ17">
        <f t="shared" si="9"/>
        <v>5.7020857747273846E-3</v>
      </c>
      <c r="BK17">
        <f t="shared" si="9"/>
        <v>5.6669226114948986E-3</v>
      </c>
      <c r="BL17">
        <f t="shared" si="9"/>
        <v>5.6348694014253997E-3</v>
      </c>
      <c r="BM17">
        <f t="shared" si="9"/>
        <v>5.6059261445188949E-3</v>
      </c>
      <c r="BN17">
        <f t="shared" si="9"/>
        <v>5.5800928407753773E-3</v>
      </c>
      <c r="BO17">
        <f t="shared" si="9"/>
        <v>5.5573694901948547E-3</v>
      </c>
      <c r="BP17">
        <f t="shared" si="10"/>
        <v>5.5377560927773253E-3</v>
      </c>
      <c r="BQ17">
        <f t="shared" si="10"/>
        <v>5.5212526485227831E-3</v>
      </c>
      <c r="BR17">
        <f t="shared" si="10"/>
        <v>5.5078591574312281E-3</v>
      </c>
      <c r="BS17">
        <f t="shared" si="10"/>
        <v>5.4975756195026742E-3</v>
      </c>
      <c r="BT17">
        <f t="shared" si="10"/>
        <v>5.4904020347371083E-3</v>
      </c>
      <c r="BU17">
        <f t="shared" si="10"/>
        <v>5.4863384031345287E-3</v>
      </c>
      <c r="BV17">
        <f t="shared" si="10"/>
        <v>5.4853847246949432E-3</v>
      </c>
      <c r="BW17">
        <f t="shared" si="10"/>
        <v>5.4875409994183597E-3</v>
      </c>
      <c r="BX17">
        <f t="shared" si="10"/>
        <v>5.4928072273047546E-3</v>
      </c>
      <c r="BY17">
        <f t="shared" si="10"/>
        <v>5.5011834083541454E-3</v>
      </c>
      <c r="BZ17">
        <f t="shared" si="10"/>
        <v>5.5126695425665225E-3</v>
      </c>
      <c r="CA17">
        <f t="shared" si="10"/>
        <v>5.5272656299419007E-3</v>
      </c>
      <c r="CB17">
        <f t="shared" si="10"/>
        <v>5.5449716704802591E-3</v>
      </c>
      <c r="CC17">
        <f t="shared" si="10"/>
        <v>5.5657876641816185E-3</v>
      </c>
      <c r="CD17">
        <f t="shared" si="10"/>
        <v>5.5897136110459591E-3</v>
      </c>
      <c r="CE17">
        <f t="shared" si="10"/>
        <v>5.6167495110733068E-3</v>
      </c>
      <c r="CF17">
        <f t="shared" si="7"/>
        <v>5.6468953642636356E-3</v>
      </c>
      <c r="CG17">
        <f t="shared" si="4"/>
        <v>5.6801511706169499E-3</v>
      </c>
      <c r="CH17">
        <f t="shared" si="4"/>
        <v>5.7165169301332669E-3</v>
      </c>
      <c r="CI17">
        <f t="shared" si="4"/>
        <v>5.7559926428125702E-3</v>
      </c>
      <c r="CJ17">
        <f t="shared" si="4"/>
        <v>5.7985783086548677E-3</v>
      </c>
      <c r="CK17">
        <f t="shared" si="4"/>
        <v>5.8442739276601523E-3</v>
      </c>
      <c r="CL17">
        <f t="shared" si="4"/>
        <v>5.8930794998284311E-3</v>
      </c>
      <c r="CM17">
        <f t="shared" si="4"/>
        <v>5.944995025159697E-3</v>
      </c>
      <c r="CN17">
        <f t="shared" si="4"/>
        <v>6.000020503653958E-3</v>
      </c>
      <c r="CO17">
        <f t="shared" si="4"/>
        <v>6.058155935311213E-3</v>
      </c>
      <c r="CP17">
        <f t="shared" si="4"/>
        <v>6.1194013201314474E-3</v>
      </c>
      <c r="CQ17">
        <f t="shared" si="4"/>
        <v>6.1837566581146889E-3</v>
      </c>
      <c r="CR17">
        <f t="shared" si="4"/>
        <v>6.2512219492609124E-3</v>
      </c>
      <c r="CS17">
        <f t="shared" si="4"/>
        <v>6.3217971935701292E-3</v>
      </c>
      <c r="CT17">
        <f t="shared" si="4"/>
        <v>6.3954823910423401E-3</v>
      </c>
      <c r="CU17">
        <f t="shared" si="4"/>
        <v>6.4722775416775451E-3</v>
      </c>
      <c r="CV17">
        <f t="shared" si="4"/>
        <v>6.5521826454757303E-3</v>
      </c>
    </row>
    <row r="18" spans="1:100" x14ac:dyDescent="0.2">
      <c r="A18">
        <v>0.63333329999999999</v>
      </c>
      <c r="B18">
        <f t="shared" si="0"/>
        <v>0.40111106888888998</v>
      </c>
      <c r="C18">
        <v>32.5</v>
      </c>
      <c r="D18">
        <f t="shared" si="1"/>
        <v>1056.25</v>
      </c>
      <c r="E18">
        <f t="shared" si="2"/>
        <v>20.583332249999998</v>
      </c>
      <c r="F18">
        <v>5.5111099999999996E-3</v>
      </c>
      <c r="S18">
        <v>31.5</v>
      </c>
      <c r="T18">
        <f t="shared" si="5"/>
        <v>9.9565599732082052E-3</v>
      </c>
      <c r="U18">
        <f t="shared" si="5"/>
        <v>9.7906835465473453E-3</v>
      </c>
      <c r="V18">
        <f t="shared" si="5"/>
        <v>9.6279170730494777E-3</v>
      </c>
      <c r="W18">
        <f t="shared" si="5"/>
        <v>9.4682605527146042E-3</v>
      </c>
      <c r="X18">
        <f t="shared" si="5"/>
        <v>9.3117139855427265E-3</v>
      </c>
      <c r="Y18">
        <f t="shared" si="5"/>
        <v>9.1582773715338274E-3</v>
      </c>
      <c r="Z18">
        <f t="shared" si="5"/>
        <v>9.0079507106879241E-3</v>
      </c>
      <c r="AA18">
        <f t="shared" si="5"/>
        <v>8.8607340030049993E-3</v>
      </c>
      <c r="AB18">
        <f t="shared" si="5"/>
        <v>8.7166272484850843E-3</v>
      </c>
      <c r="AC18">
        <f t="shared" si="5"/>
        <v>8.5756304471281616E-3</v>
      </c>
      <c r="AD18">
        <f t="shared" si="5"/>
        <v>8.4377435989342192E-3</v>
      </c>
      <c r="AE18">
        <f t="shared" si="5"/>
        <v>8.3029667039032726E-3</v>
      </c>
      <c r="AF18">
        <f t="shared" si="5"/>
        <v>8.1712997620353185E-3</v>
      </c>
      <c r="AG18">
        <f t="shared" si="5"/>
        <v>8.0427427733303601E-3</v>
      </c>
      <c r="AH18">
        <f t="shared" si="5"/>
        <v>7.9172957377883803E-3</v>
      </c>
      <c r="AI18">
        <f t="shared" si="5"/>
        <v>7.7949586554094024E-3</v>
      </c>
      <c r="AJ18">
        <f t="shared" si="8"/>
        <v>7.6757315261934116E-3</v>
      </c>
      <c r="AK18">
        <f t="shared" si="8"/>
        <v>7.5596143501404072E-3</v>
      </c>
      <c r="AL18">
        <f t="shared" si="8"/>
        <v>7.4466071272504047E-3</v>
      </c>
      <c r="AM18">
        <f t="shared" si="8"/>
        <v>7.3367098575233894E-3</v>
      </c>
      <c r="AN18">
        <f t="shared" si="8"/>
        <v>7.2299225409593612E-3</v>
      </c>
      <c r="AO18">
        <f t="shared" si="8"/>
        <v>7.1262451775583342E-3</v>
      </c>
      <c r="AP18">
        <f t="shared" si="8"/>
        <v>7.0256777673202942E-3</v>
      </c>
      <c r="AQ18">
        <f t="shared" si="8"/>
        <v>6.9282203102452406E-3</v>
      </c>
      <c r="AR18">
        <f t="shared" si="8"/>
        <v>6.833872806333182E-3</v>
      </c>
      <c r="AS18">
        <f t="shared" si="8"/>
        <v>6.7426352555841106E-3</v>
      </c>
      <c r="AT18">
        <f t="shared" si="8"/>
        <v>6.6545076579980402E-3</v>
      </c>
      <c r="AU18">
        <f t="shared" si="8"/>
        <v>6.569490013574957E-3</v>
      </c>
      <c r="AV18">
        <f t="shared" si="8"/>
        <v>6.487582322314861E-3</v>
      </c>
      <c r="AW18">
        <f t="shared" si="8"/>
        <v>6.4087845842177582E-3</v>
      </c>
      <c r="AX18">
        <f t="shared" si="8"/>
        <v>6.3330967992836504E-3</v>
      </c>
      <c r="AY18">
        <f t="shared" si="8"/>
        <v>6.2605189675125298E-3</v>
      </c>
      <c r="AZ18">
        <f t="shared" si="9"/>
        <v>6.1910510889044033E-3</v>
      </c>
      <c r="BA18">
        <f t="shared" si="9"/>
        <v>6.124693163459264E-3</v>
      </c>
      <c r="BB18">
        <f t="shared" si="9"/>
        <v>6.0614451911771188E-3</v>
      </c>
      <c r="BC18">
        <f t="shared" si="9"/>
        <v>6.0013071720579677E-3</v>
      </c>
      <c r="BD18">
        <f t="shared" si="9"/>
        <v>5.9442791061018029E-3</v>
      </c>
      <c r="BE18">
        <f t="shared" si="9"/>
        <v>5.8903609933086331E-3</v>
      </c>
      <c r="BF18">
        <f t="shared" si="9"/>
        <v>5.8395528336784575E-3</v>
      </c>
      <c r="BG18">
        <f t="shared" si="9"/>
        <v>5.791854627211269E-3</v>
      </c>
      <c r="BH18">
        <f t="shared" si="9"/>
        <v>5.7472663739070676E-3</v>
      </c>
      <c r="BI18">
        <f t="shared" si="9"/>
        <v>5.7057880737658596E-3</v>
      </c>
      <c r="BJ18">
        <f t="shared" si="9"/>
        <v>5.6674197267876474E-3</v>
      </c>
      <c r="BK18">
        <f t="shared" si="9"/>
        <v>5.6321613329724275E-3</v>
      </c>
      <c r="BL18">
        <f t="shared" si="9"/>
        <v>5.6000128923201957E-3</v>
      </c>
      <c r="BM18">
        <f t="shared" si="9"/>
        <v>5.5709744048309581E-3</v>
      </c>
      <c r="BN18">
        <f t="shared" si="9"/>
        <v>5.5450458705047067E-3</v>
      </c>
      <c r="BO18">
        <f t="shared" si="9"/>
        <v>5.5222272893414512E-3</v>
      </c>
      <c r="BP18">
        <f t="shared" si="10"/>
        <v>5.5025186613411881E-3</v>
      </c>
      <c r="BQ18">
        <f t="shared" si="10"/>
        <v>5.485919986503913E-3</v>
      </c>
      <c r="BR18">
        <f t="shared" si="10"/>
        <v>5.4724312648296251E-3</v>
      </c>
      <c r="BS18">
        <f t="shared" si="10"/>
        <v>5.4620524963183382E-3</v>
      </c>
      <c r="BT18">
        <f t="shared" si="10"/>
        <v>5.4547836809700385E-3</v>
      </c>
      <c r="BU18">
        <f t="shared" si="10"/>
        <v>5.4506248187847252E-3</v>
      </c>
      <c r="BV18">
        <f t="shared" si="10"/>
        <v>5.4495759097624068E-3</v>
      </c>
      <c r="BW18">
        <f t="shared" si="10"/>
        <v>5.4516369539030895E-3</v>
      </c>
      <c r="BX18">
        <f t="shared" si="10"/>
        <v>5.4568079512067515E-3</v>
      </c>
      <c r="BY18">
        <f t="shared" si="10"/>
        <v>5.4650889016734094E-3</v>
      </c>
      <c r="BZ18">
        <f t="shared" si="10"/>
        <v>5.4764798053030528E-3</v>
      </c>
      <c r="CA18">
        <f t="shared" si="10"/>
        <v>5.4909806620956989E-3</v>
      </c>
      <c r="CB18">
        <f t="shared" si="10"/>
        <v>5.5085914720513236E-3</v>
      </c>
      <c r="CC18">
        <f t="shared" si="10"/>
        <v>5.529312235169951E-3</v>
      </c>
      <c r="CD18">
        <f t="shared" si="10"/>
        <v>5.5531429514515569E-3</v>
      </c>
      <c r="CE18">
        <f t="shared" si="10"/>
        <v>5.5800836208961717E-3</v>
      </c>
      <c r="CF18">
        <f t="shared" si="7"/>
        <v>5.6101342435037668E-3</v>
      </c>
      <c r="CG18">
        <f t="shared" si="4"/>
        <v>5.6432948192743481E-3</v>
      </c>
      <c r="CH18">
        <f t="shared" si="4"/>
        <v>5.6795653482079314E-3</v>
      </c>
      <c r="CI18">
        <f t="shared" si="4"/>
        <v>5.7189458303045018E-3</v>
      </c>
      <c r="CJ18">
        <f t="shared" si="4"/>
        <v>5.7614362655640664E-3</v>
      </c>
      <c r="CK18">
        <f t="shared" si="4"/>
        <v>5.8070366539866181E-3</v>
      </c>
      <c r="CL18">
        <f t="shared" si="4"/>
        <v>5.8557469955721631E-3</v>
      </c>
      <c r="CM18">
        <f t="shared" si="4"/>
        <v>5.907567290320697E-3</v>
      </c>
      <c r="CN18">
        <f t="shared" si="4"/>
        <v>5.9624975382322233E-3</v>
      </c>
      <c r="CO18">
        <f t="shared" si="4"/>
        <v>6.0205377393067454E-3</v>
      </c>
      <c r="CP18">
        <f t="shared" si="4"/>
        <v>6.0816878935442461E-3</v>
      </c>
      <c r="CQ18">
        <f t="shared" si="4"/>
        <v>6.1459480009447547E-3</v>
      </c>
      <c r="CR18">
        <f t="shared" si="4"/>
        <v>6.2133180615082453E-3</v>
      </c>
      <c r="CS18">
        <f t="shared" si="4"/>
        <v>6.2837980752347283E-3</v>
      </c>
      <c r="CT18">
        <f t="shared" si="4"/>
        <v>6.3573880421242072E-3</v>
      </c>
      <c r="CU18">
        <f t="shared" si="4"/>
        <v>6.4340879621766784E-3</v>
      </c>
      <c r="CV18">
        <f t="shared" ref="CG18:CV34" si="11">$H$3+$H$4*CV$2+$H$5*CV$2*CV$2+$H$6*$S18+$H$7*$S18*$S18+$H$8*CV$2*$S18</f>
        <v>6.5138978353921307E-3</v>
      </c>
    </row>
    <row r="19" spans="1:100" x14ac:dyDescent="0.2">
      <c r="A19">
        <v>0.72222220000000004</v>
      </c>
      <c r="B19">
        <f t="shared" si="0"/>
        <v>0.52160490617284005</v>
      </c>
      <c r="C19">
        <v>32.5</v>
      </c>
      <c r="D19">
        <f t="shared" si="1"/>
        <v>1056.25</v>
      </c>
      <c r="E19">
        <f t="shared" si="2"/>
        <v>23.4722215</v>
      </c>
      <c r="F19">
        <v>6.4074099999999997E-3</v>
      </c>
      <c r="S19">
        <v>31.6</v>
      </c>
      <c r="T19">
        <f t="shared" si="5"/>
        <v>9.9267940634700808E-3</v>
      </c>
      <c r="U19">
        <f t="shared" si="5"/>
        <v>9.7608224062264871E-3</v>
      </c>
      <c r="V19">
        <f t="shared" si="5"/>
        <v>9.5979607021458874E-3</v>
      </c>
      <c r="W19">
        <f t="shared" si="5"/>
        <v>9.4382089512282819E-3</v>
      </c>
      <c r="X19">
        <f t="shared" si="5"/>
        <v>9.2815671534736688E-3</v>
      </c>
      <c r="Y19">
        <f t="shared" si="5"/>
        <v>9.1280353088820376E-3</v>
      </c>
      <c r="Z19">
        <f t="shared" si="5"/>
        <v>8.9776134174534006E-3</v>
      </c>
      <c r="AA19">
        <f t="shared" si="5"/>
        <v>8.830301479187742E-3</v>
      </c>
      <c r="AB19">
        <f t="shared" si="5"/>
        <v>8.6860994940850932E-3</v>
      </c>
      <c r="AC19">
        <f t="shared" si="5"/>
        <v>8.5450074621454385E-3</v>
      </c>
      <c r="AD19">
        <f t="shared" si="5"/>
        <v>8.4070253833687641E-3</v>
      </c>
      <c r="AE19">
        <f t="shared" si="5"/>
        <v>8.272153257755082E-3</v>
      </c>
      <c r="AF19">
        <f t="shared" si="5"/>
        <v>8.1403910853043958E-3</v>
      </c>
      <c r="AG19">
        <f t="shared" si="5"/>
        <v>8.0117388660167037E-3</v>
      </c>
      <c r="AH19">
        <f t="shared" si="5"/>
        <v>7.8861965998919918E-3</v>
      </c>
      <c r="AI19">
        <f t="shared" si="5"/>
        <v>7.7637642869302801E-3</v>
      </c>
      <c r="AJ19">
        <f t="shared" si="8"/>
        <v>7.6444419271315556E-3</v>
      </c>
      <c r="AK19">
        <f t="shared" si="8"/>
        <v>7.5282295204958183E-3</v>
      </c>
      <c r="AL19">
        <f t="shared" si="8"/>
        <v>7.4151270670230829E-3</v>
      </c>
      <c r="AM19">
        <f t="shared" si="8"/>
        <v>7.3051345667133338E-3</v>
      </c>
      <c r="AN19">
        <f t="shared" si="8"/>
        <v>7.1982520195665728E-3</v>
      </c>
      <c r="AO19">
        <f t="shared" si="8"/>
        <v>7.0944794255828119E-3</v>
      </c>
      <c r="AP19">
        <f t="shared" si="8"/>
        <v>6.9938167847620391E-3</v>
      </c>
      <c r="AQ19">
        <f t="shared" si="8"/>
        <v>6.8962640971042526E-3</v>
      </c>
      <c r="AR19">
        <f t="shared" si="8"/>
        <v>6.8018213626094611E-3</v>
      </c>
      <c r="AS19">
        <f t="shared" si="8"/>
        <v>6.7104885812776559E-3</v>
      </c>
      <c r="AT19">
        <f t="shared" si="8"/>
        <v>6.6222657531088526E-3</v>
      </c>
      <c r="AU19">
        <f t="shared" si="8"/>
        <v>6.5371528781030357E-3</v>
      </c>
      <c r="AV19">
        <f t="shared" si="8"/>
        <v>6.4551499562602067E-3</v>
      </c>
      <c r="AW19">
        <f t="shared" si="8"/>
        <v>6.3762569875803711E-3</v>
      </c>
      <c r="AX19">
        <f t="shared" si="8"/>
        <v>6.3004739720635295E-3</v>
      </c>
      <c r="AY19">
        <f t="shared" si="8"/>
        <v>6.227800909709676E-3</v>
      </c>
      <c r="AZ19">
        <f t="shared" si="9"/>
        <v>6.1582378005188166E-3</v>
      </c>
      <c r="BA19">
        <f t="shared" si="9"/>
        <v>6.0917846444909435E-3</v>
      </c>
      <c r="BB19">
        <f t="shared" si="9"/>
        <v>6.0284414416260645E-3</v>
      </c>
      <c r="BC19">
        <f t="shared" si="9"/>
        <v>5.9682081919241806E-3</v>
      </c>
      <c r="BD19">
        <f t="shared" si="9"/>
        <v>5.9110848953852829E-3</v>
      </c>
      <c r="BE19">
        <f t="shared" si="9"/>
        <v>5.8570715520093802E-3</v>
      </c>
      <c r="BF19">
        <f t="shared" si="9"/>
        <v>5.8061681617964708E-3</v>
      </c>
      <c r="BG19">
        <f t="shared" si="9"/>
        <v>5.7583747247465494E-3</v>
      </c>
      <c r="BH19">
        <f t="shared" si="9"/>
        <v>5.7136912408596143E-3</v>
      </c>
      <c r="BI19">
        <f t="shared" si="9"/>
        <v>5.6721177101356742E-3</v>
      </c>
      <c r="BJ19">
        <f t="shared" si="9"/>
        <v>5.6336541325747273E-3</v>
      </c>
      <c r="BK19">
        <f t="shared" si="9"/>
        <v>5.5983005081767755E-3</v>
      </c>
      <c r="BL19">
        <f t="shared" si="9"/>
        <v>5.5660568369418099E-3</v>
      </c>
      <c r="BM19">
        <f t="shared" si="9"/>
        <v>5.5369231188698385E-3</v>
      </c>
      <c r="BN19">
        <f t="shared" si="9"/>
        <v>5.5108993539608551E-3</v>
      </c>
      <c r="BO19">
        <f t="shared" si="9"/>
        <v>5.4879855422148658E-3</v>
      </c>
      <c r="BP19">
        <f t="shared" si="10"/>
        <v>5.4681816836318698E-3</v>
      </c>
      <c r="BQ19">
        <f t="shared" si="10"/>
        <v>5.4514877782118609E-3</v>
      </c>
      <c r="BR19">
        <f t="shared" si="10"/>
        <v>5.4379038259548401E-3</v>
      </c>
      <c r="BS19">
        <f t="shared" si="10"/>
        <v>5.4274298268608204E-3</v>
      </c>
      <c r="BT19">
        <f t="shared" si="10"/>
        <v>5.4200657809297869E-3</v>
      </c>
      <c r="BU19">
        <f t="shared" si="10"/>
        <v>5.4158116881617407E-3</v>
      </c>
      <c r="BV19">
        <f t="shared" si="10"/>
        <v>5.4146675485566894E-3</v>
      </c>
      <c r="BW19">
        <f t="shared" si="10"/>
        <v>5.4166333621146392E-3</v>
      </c>
      <c r="BX19">
        <f t="shared" si="10"/>
        <v>5.4217091288355675E-3</v>
      </c>
      <c r="BY19">
        <f t="shared" si="10"/>
        <v>5.4298948487194916E-3</v>
      </c>
      <c r="BZ19">
        <f t="shared" si="10"/>
        <v>5.441190521766402E-3</v>
      </c>
      <c r="CA19">
        <f t="shared" si="10"/>
        <v>5.4555961479763144E-3</v>
      </c>
      <c r="CB19">
        <f t="shared" si="10"/>
        <v>5.4731117273492062E-3</v>
      </c>
      <c r="CC19">
        <f t="shared" si="10"/>
        <v>5.4937372598850998E-3</v>
      </c>
      <c r="CD19">
        <f t="shared" si="10"/>
        <v>5.5174727455839737E-3</v>
      </c>
      <c r="CE19">
        <f t="shared" si="10"/>
        <v>5.5443181844458548E-3</v>
      </c>
      <c r="CF19">
        <f t="shared" si="7"/>
        <v>5.574273576470716E-3</v>
      </c>
      <c r="CG19">
        <f t="shared" si="11"/>
        <v>5.6073389216585653E-3</v>
      </c>
      <c r="CH19">
        <f t="shared" si="11"/>
        <v>5.6435142200094148E-3</v>
      </c>
      <c r="CI19">
        <f t="shared" si="11"/>
        <v>5.6827994715232515E-3</v>
      </c>
      <c r="CJ19">
        <f t="shared" si="11"/>
        <v>5.7251946762000832E-3</v>
      </c>
      <c r="CK19">
        <f t="shared" si="11"/>
        <v>5.770699834039902E-3</v>
      </c>
      <c r="CL19">
        <f t="shared" si="11"/>
        <v>5.8193149450427141E-3</v>
      </c>
      <c r="CM19">
        <f t="shared" si="11"/>
        <v>5.8710400092085134E-3</v>
      </c>
      <c r="CN19">
        <f t="shared" si="11"/>
        <v>5.9258750265373077E-3</v>
      </c>
      <c r="CO19">
        <f t="shared" si="11"/>
        <v>5.983819997029096E-3</v>
      </c>
      <c r="CP19">
        <f t="shared" si="11"/>
        <v>6.0448749206838646E-3</v>
      </c>
      <c r="CQ19">
        <f t="shared" si="11"/>
        <v>6.1090397975016395E-3</v>
      </c>
      <c r="CR19">
        <f t="shared" si="11"/>
        <v>6.1763146274823964E-3</v>
      </c>
      <c r="CS19">
        <f t="shared" si="11"/>
        <v>6.2466994106261465E-3</v>
      </c>
      <c r="CT19">
        <f t="shared" si="11"/>
        <v>6.3201941469328907E-3</v>
      </c>
      <c r="CU19">
        <f t="shared" si="11"/>
        <v>6.3967988364026299E-3</v>
      </c>
      <c r="CV19">
        <f t="shared" si="11"/>
        <v>6.4765134790353493E-3</v>
      </c>
    </row>
    <row r="20" spans="1:100" x14ac:dyDescent="0.2">
      <c r="A20">
        <v>0.81111109999999997</v>
      </c>
      <c r="B20">
        <f t="shared" si="0"/>
        <v>0.65790121654320999</v>
      </c>
      <c r="C20">
        <v>32.5</v>
      </c>
      <c r="D20">
        <f t="shared" si="1"/>
        <v>1056.25</v>
      </c>
      <c r="E20">
        <f t="shared" si="2"/>
        <v>26.361110749999998</v>
      </c>
      <c r="F20">
        <v>6.5222199999999996E-3</v>
      </c>
      <c r="S20">
        <v>31.7</v>
      </c>
      <c r="T20">
        <f t="shared" si="5"/>
        <v>9.8979286074587745E-3</v>
      </c>
      <c r="U20">
        <f t="shared" si="5"/>
        <v>9.7318617196324488E-3</v>
      </c>
      <c r="V20">
        <f t="shared" si="5"/>
        <v>9.5689047849691154E-3</v>
      </c>
      <c r="W20">
        <f t="shared" si="5"/>
        <v>9.4090578034687761E-3</v>
      </c>
      <c r="X20">
        <f t="shared" si="5"/>
        <v>9.2523207751314309E-3</v>
      </c>
      <c r="Y20">
        <f t="shared" si="5"/>
        <v>9.098693699957066E-3</v>
      </c>
      <c r="Z20">
        <f t="shared" si="5"/>
        <v>8.9481765779456952E-3</v>
      </c>
      <c r="AA20">
        <f t="shared" si="5"/>
        <v>8.8007694090973046E-3</v>
      </c>
      <c r="AB20">
        <f t="shared" si="5"/>
        <v>8.656472193411922E-3</v>
      </c>
      <c r="AC20">
        <f t="shared" si="5"/>
        <v>8.5152849308895336E-3</v>
      </c>
      <c r="AD20">
        <f t="shared" si="5"/>
        <v>8.3772076215301253E-3</v>
      </c>
      <c r="AE20">
        <f t="shared" si="5"/>
        <v>8.2422402653337112E-3</v>
      </c>
      <c r="AF20">
        <f t="shared" si="5"/>
        <v>8.1103828623002912E-3</v>
      </c>
      <c r="AG20">
        <f t="shared" si="5"/>
        <v>7.9816354124298654E-3</v>
      </c>
      <c r="AH20">
        <f t="shared" si="5"/>
        <v>7.8559979157224197E-3</v>
      </c>
      <c r="AI20">
        <f t="shared" si="5"/>
        <v>7.7334703721779752E-3</v>
      </c>
      <c r="AJ20">
        <f t="shared" si="8"/>
        <v>7.6140527817965178E-3</v>
      </c>
      <c r="AK20">
        <f t="shared" si="8"/>
        <v>7.4977451445780476E-3</v>
      </c>
      <c r="AL20">
        <f t="shared" si="8"/>
        <v>7.3845474605225793E-3</v>
      </c>
      <c r="AM20">
        <f t="shared" si="8"/>
        <v>7.2744597296300973E-3</v>
      </c>
      <c r="AN20">
        <f t="shared" si="8"/>
        <v>7.1674819519006025E-3</v>
      </c>
      <c r="AO20">
        <f t="shared" si="8"/>
        <v>7.0636141273341087E-3</v>
      </c>
      <c r="AP20">
        <f t="shared" si="8"/>
        <v>6.9628562559306021E-3</v>
      </c>
      <c r="AQ20">
        <f t="shared" si="8"/>
        <v>6.8652083376900827E-3</v>
      </c>
      <c r="AR20">
        <f t="shared" si="8"/>
        <v>6.7706703726125575E-3</v>
      </c>
      <c r="AS20">
        <f t="shared" si="8"/>
        <v>6.6792423606980202E-3</v>
      </c>
      <c r="AT20">
        <f t="shared" si="8"/>
        <v>6.5909243019464832E-3</v>
      </c>
      <c r="AU20">
        <f t="shared" si="8"/>
        <v>6.5057161963579333E-3</v>
      </c>
      <c r="AV20">
        <f t="shared" si="8"/>
        <v>6.4236180439323706E-3</v>
      </c>
      <c r="AW20">
        <f t="shared" si="8"/>
        <v>6.3446298446698021E-3</v>
      </c>
      <c r="AX20">
        <f t="shared" si="8"/>
        <v>6.2687515985702276E-3</v>
      </c>
      <c r="AY20">
        <f t="shared" si="8"/>
        <v>6.1959833056336403E-3</v>
      </c>
      <c r="AZ20">
        <f t="shared" si="9"/>
        <v>6.1263249658600472E-3</v>
      </c>
      <c r="BA20">
        <f t="shared" si="9"/>
        <v>6.0597765792494412E-3</v>
      </c>
      <c r="BB20">
        <f t="shared" si="9"/>
        <v>5.9963381458018293E-3</v>
      </c>
      <c r="BC20">
        <f t="shared" si="9"/>
        <v>5.9360096655172116E-3</v>
      </c>
      <c r="BD20">
        <f t="shared" si="9"/>
        <v>5.878791138395581E-3</v>
      </c>
      <c r="BE20">
        <f t="shared" si="9"/>
        <v>5.8246825644369445E-3</v>
      </c>
      <c r="BF20">
        <f t="shared" si="9"/>
        <v>5.7736839436413031E-3</v>
      </c>
      <c r="BG20">
        <f t="shared" si="9"/>
        <v>5.7257952760086479E-3</v>
      </c>
      <c r="BH20">
        <f t="shared" si="9"/>
        <v>5.6810165615389799E-3</v>
      </c>
      <c r="BI20">
        <f t="shared" si="9"/>
        <v>5.6393478002323061E-3</v>
      </c>
      <c r="BJ20">
        <f t="shared" si="9"/>
        <v>5.6007889920886263E-3</v>
      </c>
      <c r="BK20">
        <f t="shared" si="9"/>
        <v>5.5653401371079407E-3</v>
      </c>
      <c r="BL20">
        <f t="shared" si="9"/>
        <v>5.5330012352902422E-3</v>
      </c>
      <c r="BM20">
        <f t="shared" si="9"/>
        <v>5.5037722866355379E-3</v>
      </c>
      <c r="BN20">
        <f t="shared" si="9"/>
        <v>5.4776532911438207E-3</v>
      </c>
      <c r="BO20">
        <f t="shared" si="9"/>
        <v>5.4546442488150985E-3</v>
      </c>
      <c r="BP20">
        <f t="shared" si="10"/>
        <v>5.4347451596493696E-3</v>
      </c>
      <c r="BQ20">
        <f t="shared" si="10"/>
        <v>5.4179560236466279E-3</v>
      </c>
      <c r="BR20">
        <f t="shared" si="10"/>
        <v>5.4042768408068733E-3</v>
      </c>
      <c r="BS20">
        <f t="shared" si="10"/>
        <v>5.3937076111301198E-3</v>
      </c>
      <c r="BT20">
        <f t="shared" si="10"/>
        <v>5.3862483346163535E-3</v>
      </c>
      <c r="BU20">
        <f t="shared" si="10"/>
        <v>5.3818990112655743E-3</v>
      </c>
      <c r="BV20">
        <f t="shared" si="10"/>
        <v>5.3806596410777893E-3</v>
      </c>
      <c r="BW20">
        <f t="shared" si="10"/>
        <v>5.3825302240530053E-3</v>
      </c>
      <c r="BX20">
        <f t="shared" si="10"/>
        <v>5.3875107601912015E-3</v>
      </c>
      <c r="BY20">
        <f t="shared" si="10"/>
        <v>5.3956012494923919E-3</v>
      </c>
      <c r="BZ20">
        <f t="shared" si="10"/>
        <v>5.4068016919565694E-3</v>
      </c>
      <c r="CA20">
        <f t="shared" si="10"/>
        <v>5.4211120875837489E-3</v>
      </c>
      <c r="CB20">
        <f t="shared" si="10"/>
        <v>5.4385324363739078E-3</v>
      </c>
      <c r="CC20">
        <f t="shared" si="10"/>
        <v>5.4590627383270677E-3</v>
      </c>
      <c r="CD20">
        <f t="shared" si="10"/>
        <v>5.4827029934432078E-3</v>
      </c>
      <c r="CE20">
        <f t="shared" si="10"/>
        <v>5.5094532017223568E-3</v>
      </c>
      <c r="CF20">
        <f t="shared" si="7"/>
        <v>5.5393133631644852E-3</v>
      </c>
      <c r="CG20">
        <f t="shared" si="11"/>
        <v>5.5722834777695998E-3</v>
      </c>
      <c r="CH20">
        <f t="shared" si="11"/>
        <v>5.6083635455377165E-3</v>
      </c>
      <c r="CI20">
        <f t="shared" si="11"/>
        <v>5.6475535664688211E-3</v>
      </c>
      <c r="CJ20">
        <f t="shared" si="11"/>
        <v>5.689853540562919E-3</v>
      </c>
      <c r="CK20">
        <f t="shared" si="11"/>
        <v>5.7352634678200041E-3</v>
      </c>
      <c r="CL20">
        <f t="shared" si="11"/>
        <v>5.7837833482400833E-3</v>
      </c>
      <c r="CM20">
        <f t="shared" si="11"/>
        <v>5.8354131818231497E-3</v>
      </c>
      <c r="CN20">
        <f t="shared" si="11"/>
        <v>5.8901529685692101E-3</v>
      </c>
      <c r="CO20">
        <f t="shared" si="11"/>
        <v>5.9480027084782647E-3</v>
      </c>
      <c r="CP20">
        <f t="shared" si="11"/>
        <v>6.0089624015502996E-3</v>
      </c>
      <c r="CQ20">
        <f t="shared" si="11"/>
        <v>6.0730320477853424E-3</v>
      </c>
      <c r="CR20">
        <f t="shared" si="11"/>
        <v>6.1402116471833655E-3</v>
      </c>
      <c r="CS20">
        <f t="shared" si="11"/>
        <v>6.2105011997443827E-3</v>
      </c>
      <c r="CT20">
        <f t="shared" si="11"/>
        <v>6.283900705468394E-3</v>
      </c>
      <c r="CU20">
        <f t="shared" si="11"/>
        <v>6.3604101643553995E-3</v>
      </c>
      <c r="CV20">
        <f t="shared" si="11"/>
        <v>6.4400295764053851E-3</v>
      </c>
    </row>
    <row r="21" spans="1:100" x14ac:dyDescent="0.2">
      <c r="A21">
        <v>0.9</v>
      </c>
      <c r="B21">
        <f t="shared" si="0"/>
        <v>0.81</v>
      </c>
      <c r="C21">
        <v>32.5</v>
      </c>
      <c r="D21">
        <f t="shared" si="1"/>
        <v>1056.25</v>
      </c>
      <c r="E21">
        <f t="shared" si="2"/>
        <v>29.25</v>
      </c>
      <c r="F21">
        <v>5.3666699999999996E-3</v>
      </c>
      <c r="S21">
        <v>31.8</v>
      </c>
      <c r="T21">
        <f t="shared" si="5"/>
        <v>9.8699636051742881E-3</v>
      </c>
      <c r="U21">
        <f t="shared" si="5"/>
        <v>9.7038014867652268E-3</v>
      </c>
      <c r="V21">
        <f t="shared" si="5"/>
        <v>9.5407493215191597E-3</v>
      </c>
      <c r="W21">
        <f t="shared" si="5"/>
        <v>9.3808071094360884E-3</v>
      </c>
      <c r="X21">
        <f t="shared" si="5"/>
        <v>9.2239748505160094E-3</v>
      </c>
      <c r="Y21">
        <f t="shared" si="5"/>
        <v>9.0702525447589107E-3</v>
      </c>
      <c r="Z21">
        <f t="shared" si="5"/>
        <v>8.9196401921648079E-3</v>
      </c>
      <c r="AA21">
        <f t="shared" si="5"/>
        <v>8.7721377927336835E-3</v>
      </c>
      <c r="AB21">
        <f t="shared" si="5"/>
        <v>8.6277453464655689E-3</v>
      </c>
      <c r="AC21">
        <f t="shared" si="5"/>
        <v>8.4864628533604467E-3</v>
      </c>
      <c r="AD21">
        <f t="shared" si="5"/>
        <v>8.3482903134183047E-3</v>
      </c>
      <c r="AE21">
        <f t="shared" si="5"/>
        <v>8.2132277266391586E-3</v>
      </c>
      <c r="AF21">
        <f t="shared" si="5"/>
        <v>8.0812750930230048E-3</v>
      </c>
      <c r="AG21">
        <f t="shared" si="5"/>
        <v>7.9524324125698452E-3</v>
      </c>
      <c r="AH21">
        <f t="shared" si="5"/>
        <v>7.8266996852796675E-3</v>
      </c>
      <c r="AI21">
        <f t="shared" si="5"/>
        <v>7.7040769111524892E-3</v>
      </c>
      <c r="AJ21">
        <f t="shared" si="8"/>
        <v>7.5845640901882989E-3</v>
      </c>
      <c r="AK21">
        <f t="shared" si="8"/>
        <v>7.4681612223870958E-3</v>
      </c>
      <c r="AL21">
        <f t="shared" si="8"/>
        <v>7.3548683077488929E-3</v>
      </c>
      <c r="AM21">
        <f t="shared" si="8"/>
        <v>7.244685346273678E-3</v>
      </c>
      <c r="AN21">
        <f t="shared" si="8"/>
        <v>7.1376123379614503E-3</v>
      </c>
      <c r="AO21">
        <f t="shared" si="8"/>
        <v>7.0336492828122236E-3</v>
      </c>
      <c r="AP21">
        <f t="shared" si="8"/>
        <v>6.9327961808259833E-3</v>
      </c>
      <c r="AQ21">
        <f t="shared" si="8"/>
        <v>6.835053032002731E-3</v>
      </c>
      <c r="AR21">
        <f t="shared" si="8"/>
        <v>6.7404198363424719E-3</v>
      </c>
      <c r="AS21">
        <f t="shared" si="8"/>
        <v>6.6488965938452018E-3</v>
      </c>
      <c r="AT21">
        <f t="shared" si="8"/>
        <v>6.560483304510931E-3</v>
      </c>
      <c r="AU21">
        <f t="shared" si="8"/>
        <v>6.4751799683396482E-3</v>
      </c>
      <c r="AV21">
        <f t="shared" si="8"/>
        <v>6.3929865853313526E-3</v>
      </c>
      <c r="AW21">
        <f t="shared" si="8"/>
        <v>6.3139031554860503E-3</v>
      </c>
      <c r="AX21">
        <f t="shared" si="8"/>
        <v>6.2379296788037429E-3</v>
      </c>
      <c r="AY21">
        <f t="shared" si="8"/>
        <v>6.1650661552844228E-3</v>
      </c>
      <c r="AZ21">
        <f t="shared" si="9"/>
        <v>6.0953125849280967E-3</v>
      </c>
      <c r="BA21">
        <f t="shared" si="9"/>
        <v>6.028668967734757E-3</v>
      </c>
      <c r="BB21">
        <f t="shared" si="9"/>
        <v>5.9651353037044122E-3</v>
      </c>
      <c r="BC21">
        <f t="shared" si="9"/>
        <v>5.9047115928370615E-3</v>
      </c>
      <c r="BD21">
        <f t="shared" si="9"/>
        <v>5.8473978351326981E-3</v>
      </c>
      <c r="BE21">
        <f t="shared" si="9"/>
        <v>5.7931940305913279E-3</v>
      </c>
      <c r="BF21">
        <f t="shared" si="9"/>
        <v>5.7421001792129526E-3</v>
      </c>
      <c r="BG21">
        <f t="shared" si="9"/>
        <v>5.6941162809975646E-3</v>
      </c>
      <c r="BH21">
        <f t="shared" si="9"/>
        <v>5.6492423359451628E-3</v>
      </c>
      <c r="BI21">
        <f t="shared" si="9"/>
        <v>5.607478344055756E-3</v>
      </c>
      <c r="BJ21">
        <f t="shared" si="9"/>
        <v>5.5688243053293434E-3</v>
      </c>
      <c r="BK21">
        <f t="shared" si="9"/>
        <v>5.533280219765924E-3</v>
      </c>
      <c r="BL21">
        <f t="shared" si="9"/>
        <v>5.5008460873654927E-3</v>
      </c>
      <c r="BM21">
        <f t="shared" si="9"/>
        <v>5.4715219081280554E-3</v>
      </c>
      <c r="BN21">
        <f t="shared" si="9"/>
        <v>5.4453076820536045E-3</v>
      </c>
      <c r="BO21">
        <f t="shared" si="9"/>
        <v>5.4222034091421494E-3</v>
      </c>
      <c r="BP21">
        <f t="shared" si="10"/>
        <v>5.4022090893936867E-3</v>
      </c>
      <c r="BQ21">
        <f t="shared" si="10"/>
        <v>5.3853247228082121E-3</v>
      </c>
      <c r="BR21">
        <f t="shared" si="10"/>
        <v>5.3715503093857246E-3</v>
      </c>
      <c r="BS21">
        <f t="shared" si="10"/>
        <v>5.3608858491262373E-3</v>
      </c>
      <c r="BT21">
        <f t="shared" si="10"/>
        <v>5.3533313420297381E-3</v>
      </c>
      <c r="BU21">
        <f t="shared" si="10"/>
        <v>5.348886788096226E-3</v>
      </c>
      <c r="BV21">
        <f t="shared" si="10"/>
        <v>5.3475521873257072E-3</v>
      </c>
      <c r="BW21">
        <f t="shared" si="10"/>
        <v>5.3493275397181912E-3</v>
      </c>
      <c r="BX21">
        <f t="shared" si="10"/>
        <v>5.3542128452736537E-3</v>
      </c>
      <c r="BY21">
        <f t="shared" si="10"/>
        <v>5.3622081039921103E-3</v>
      </c>
      <c r="BZ21">
        <f t="shared" si="10"/>
        <v>5.373313315873555E-3</v>
      </c>
      <c r="CA21">
        <f t="shared" si="10"/>
        <v>5.3875284809180007E-3</v>
      </c>
      <c r="CB21">
        <f t="shared" si="10"/>
        <v>5.4048535991254266E-3</v>
      </c>
      <c r="CC21">
        <f t="shared" si="10"/>
        <v>5.4252886704958536E-3</v>
      </c>
      <c r="CD21">
        <f t="shared" si="10"/>
        <v>5.44883369502926E-3</v>
      </c>
      <c r="CE21">
        <f t="shared" si="10"/>
        <v>5.4754886727256761E-3</v>
      </c>
      <c r="CF21">
        <f t="shared" si="7"/>
        <v>5.5052536035850707E-3</v>
      </c>
      <c r="CG21">
        <f t="shared" si="11"/>
        <v>5.5381284876074525E-3</v>
      </c>
      <c r="CH21">
        <f t="shared" si="11"/>
        <v>5.5741133247928362E-3</v>
      </c>
      <c r="CI21">
        <f t="shared" si="11"/>
        <v>5.6132081151412071E-3</v>
      </c>
      <c r="CJ21">
        <f t="shared" si="11"/>
        <v>5.6554128586525712E-3</v>
      </c>
      <c r="CK21">
        <f t="shared" si="11"/>
        <v>5.7007275553269234E-3</v>
      </c>
      <c r="CL21">
        <f t="shared" si="11"/>
        <v>5.7491522051642697E-3</v>
      </c>
      <c r="CM21">
        <f t="shared" si="11"/>
        <v>5.8006868081646023E-3</v>
      </c>
      <c r="CN21">
        <f t="shared" si="11"/>
        <v>5.8553313643279307E-3</v>
      </c>
      <c r="CO21">
        <f t="shared" si="11"/>
        <v>5.9130858736542516E-3</v>
      </c>
      <c r="CP21">
        <f t="shared" si="11"/>
        <v>5.9739503361435544E-3</v>
      </c>
      <c r="CQ21">
        <f t="shared" si="11"/>
        <v>6.0379247517958635E-3</v>
      </c>
      <c r="CR21">
        <f t="shared" si="11"/>
        <v>6.1050091206111528E-3</v>
      </c>
      <c r="CS21">
        <f t="shared" si="11"/>
        <v>6.1752034425894371E-3</v>
      </c>
      <c r="CT21">
        <f t="shared" si="11"/>
        <v>6.2485077177307155E-3</v>
      </c>
      <c r="CU21">
        <f t="shared" si="11"/>
        <v>6.3249219460349872E-3</v>
      </c>
      <c r="CV21">
        <f t="shared" si="11"/>
        <v>6.4044461275022408E-3</v>
      </c>
    </row>
    <row r="22" spans="1:100" x14ac:dyDescent="0.2">
      <c r="A22">
        <v>0.1</v>
      </c>
      <c r="B22">
        <f t="shared" si="0"/>
        <v>1.0000000000000002E-2</v>
      </c>
      <c r="C22">
        <v>35</v>
      </c>
      <c r="D22">
        <f t="shared" si="1"/>
        <v>1225</v>
      </c>
      <c r="E22">
        <f t="shared" si="2"/>
        <v>3.5</v>
      </c>
      <c r="F22">
        <v>1.0200000000000001E-2</v>
      </c>
      <c r="S22">
        <v>31.9</v>
      </c>
      <c r="T22">
        <f t="shared" si="5"/>
        <v>9.8428990566166181E-3</v>
      </c>
      <c r="U22">
        <f t="shared" si="5"/>
        <v>9.676641707624823E-3</v>
      </c>
      <c r="V22">
        <f t="shared" si="5"/>
        <v>9.5134943117960238E-3</v>
      </c>
      <c r="W22">
        <f t="shared" si="5"/>
        <v>9.3534568691302188E-3</v>
      </c>
      <c r="X22">
        <f t="shared" si="5"/>
        <v>9.1965293796274078E-3</v>
      </c>
      <c r="Y22">
        <f t="shared" si="5"/>
        <v>9.0427118432875753E-3</v>
      </c>
      <c r="Z22">
        <f t="shared" si="5"/>
        <v>8.8920042601107387E-3</v>
      </c>
      <c r="AA22">
        <f t="shared" si="5"/>
        <v>8.7444066300968806E-3</v>
      </c>
      <c r="AB22">
        <f t="shared" si="5"/>
        <v>8.5999189532460323E-3</v>
      </c>
      <c r="AC22">
        <f t="shared" si="5"/>
        <v>8.458541229558178E-3</v>
      </c>
      <c r="AD22">
        <f t="shared" si="5"/>
        <v>8.320273459033304E-3</v>
      </c>
      <c r="AE22">
        <f t="shared" si="5"/>
        <v>8.1851156416714223E-3</v>
      </c>
      <c r="AF22">
        <f t="shared" si="5"/>
        <v>8.0530677774725366E-3</v>
      </c>
      <c r="AG22">
        <f t="shared" si="5"/>
        <v>7.9241298664366449E-3</v>
      </c>
      <c r="AH22">
        <f t="shared" si="5"/>
        <v>7.7983019085637326E-3</v>
      </c>
      <c r="AI22">
        <f t="shared" si="5"/>
        <v>7.6755839038538214E-3</v>
      </c>
      <c r="AJ22">
        <f t="shared" si="8"/>
        <v>7.5559758523068973E-3</v>
      </c>
      <c r="AK22">
        <f t="shared" si="8"/>
        <v>7.4394777539229613E-3</v>
      </c>
      <c r="AL22">
        <f t="shared" si="8"/>
        <v>7.3260896087020255E-3</v>
      </c>
      <c r="AM22">
        <f t="shared" si="8"/>
        <v>7.2158114166440777E-3</v>
      </c>
      <c r="AN22">
        <f t="shared" si="8"/>
        <v>7.1086431777491162E-3</v>
      </c>
      <c r="AO22">
        <f t="shared" si="8"/>
        <v>7.0045848920171558E-3</v>
      </c>
      <c r="AP22">
        <f t="shared" si="8"/>
        <v>6.9036365594481834E-3</v>
      </c>
      <c r="AQ22">
        <f t="shared" si="8"/>
        <v>6.8057981800421974E-3</v>
      </c>
      <c r="AR22">
        <f t="shared" si="8"/>
        <v>6.7110697537992054E-3</v>
      </c>
      <c r="AS22">
        <f t="shared" si="8"/>
        <v>6.6194512807192015E-3</v>
      </c>
      <c r="AT22">
        <f t="shared" si="8"/>
        <v>6.5309427608021978E-3</v>
      </c>
      <c r="AU22">
        <f t="shared" si="8"/>
        <v>6.4455441940481813E-3</v>
      </c>
      <c r="AV22">
        <f t="shared" si="8"/>
        <v>6.3632555804571528E-3</v>
      </c>
      <c r="AW22">
        <f t="shared" si="8"/>
        <v>6.2840769200291175E-3</v>
      </c>
      <c r="AX22">
        <f t="shared" si="8"/>
        <v>6.2080082127640764E-3</v>
      </c>
      <c r="AY22">
        <f t="shared" si="8"/>
        <v>6.1350494586620234E-3</v>
      </c>
      <c r="AZ22">
        <f t="shared" si="9"/>
        <v>6.0652006577229635E-3</v>
      </c>
      <c r="BA22">
        <f t="shared" si="9"/>
        <v>5.9984618099468909E-3</v>
      </c>
      <c r="BB22">
        <f t="shared" si="9"/>
        <v>5.9348329153338132E-3</v>
      </c>
      <c r="BC22">
        <f t="shared" si="9"/>
        <v>5.8743139738837288E-3</v>
      </c>
      <c r="BD22">
        <f t="shared" si="9"/>
        <v>5.8169049855966316E-3</v>
      </c>
      <c r="BE22">
        <f t="shared" si="9"/>
        <v>5.7626059504725293E-3</v>
      </c>
      <c r="BF22">
        <f t="shared" si="9"/>
        <v>5.7114168685114203E-3</v>
      </c>
      <c r="BG22">
        <f t="shared" si="9"/>
        <v>5.6633377397132994E-3</v>
      </c>
      <c r="BH22">
        <f t="shared" si="9"/>
        <v>5.6183685640781647E-3</v>
      </c>
      <c r="BI22">
        <f t="shared" si="9"/>
        <v>5.576509341606025E-3</v>
      </c>
      <c r="BJ22">
        <f t="shared" si="9"/>
        <v>5.5377600722968786E-3</v>
      </c>
      <c r="BK22">
        <f t="shared" si="9"/>
        <v>5.5021207561507263E-3</v>
      </c>
      <c r="BL22">
        <f t="shared" si="9"/>
        <v>5.4695913931675612E-3</v>
      </c>
      <c r="BM22">
        <f t="shared" si="9"/>
        <v>5.4401719833473902E-3</v>
      </c>
      <c r="BN22">
        <f t="shared" si="9"/>
        <v>5.4138625266902073E-3</v>
      </c>
      <c r="BO22">
        <f t="shared" si="9"/>
        <v>5.3906630231960184E-3</v>
      </c>
      <c r="BP22">
        <f t="shared" si="10"/>
        <v>5.3705734728648228E-3</v>
      </c>
      <c r="BQ22">
        <f t="shared" si="10"/>
        <v>5.3535938756966144E-3</v>
      </c>
      <c r="BR22">
        <f t="shared" si="10"/>
        <v>5.3397242316913941E-3</v>
      </c>
      <c r="BS22">
        <f t="shared" si="10"/>
        <v>5.3289645408491739E-3</v>
      </c>
      <c r="BT22">
        <f t="shared" si="10"/>
        <v>5.3213148031699409E-3</v>
      </c>
      <c r="BU22">
        <f t="shared" si="10"/>
        <v>5.3167750186536959E-3</v>
      </c>
      <c r="BV22">
        <f t="shared" si="10"/>
        <v>5.3153451873004442E-3</v>
      </c>
      <c r="BW22">
        <f t="shared" si="10"/>
        <v>5.3170253091101936E-3</v>
      </c>
      <c r="BX22">
        <f t="shared" si="10"/>
        <v>5.321815384082924E-3</v>
      </c>
      <c r="BY22">
        <f t="shared" si="10"/>
        <v>5.3297154122186477E-3</v>
      </c>
      <c r="BZ22">
        <f t="shared" si="10"/>
        <v>5.3407253935173586E-3</v>
      </c>
      <c r="CA22">
        <f t="shared" si="10"/>
        <v>5.3548453279790714E-3</v>
      </c>
      <c r="CB22">
        <f t="shared" si="10"/>
        <v>5.3720752156037645E-3</v>
      </c>
      <c r="CC22">
        <f t="shared" si="10"/>
        <v>5.3924150563914577E-3</v>
      </c>
      <c r="CD22">
        <f t="shared" si="10"/>
        <v>5.4158648503421312E-3</v>
      </c>
      <c r="CE22">
        <f t="shared" si="10"/>
        <v>5.4424245974558135E-3</v>
      </c>
      <c r="CF22">
        <f t="shared" si="7"/>
        <v>5.4720942977324752E-3</v>
      </c>
      <c r="CG22">
        <f t="shared" si="11"/>
        <v>5.5048739511721241E-3</v>
      </c>
      <c r="CH22">
        <f t="shared" si="11"/>
        <v>5.540763557774774E-3</v>
      </c>
      <c r="CI22">
        <f t="shared" si="11"/>
        <v>5.5797631175404112E-3</v>
      </c>
      <c r="CJ22">
        <f t="shared" si="11"/>
        <v>5.6218726304690433E-3</v>
      </c>
      <c r="CK22">
        <f t="shared" si="11"/>
        <v>5.6670920965606626E-3</v>
      </c>
      <c r="CL22">
        <f t="shared" si="11"/>
        <v>5.7154215158152742E-3</v>
      </c>
      <c r="CM22">
        <f t="shared" si="11"/>
        <v>5.7668608882328748E-3</v>
      </c>
      <c r="CN22">
        <f t="shared" si="11"/>
        <v>5.8214102138134695E-3</v>
      </c>
      <c r="CO22">
        <f t="shared" si="11"/>
        <v>5.8790694925570574E-3</v>
      </c>
      <c r="CP22">
        <f t="shared" si="11"/>
        <v>5.9398387244636256E-3</v>
      </c>
      <c r="CQ22">
        <f t="shared" si="11"/>
        <v>6.0037179095332027E-3</v>
      </c>
      <c r="CR22">
        <f t="shared" si="11"/>
        <v>6.0707070477657591E-3</v>
      </c>
      <c r="CS22">
        <f t="shared" si="11"/>
        <v>6.1408061391613096E-3</v>
      </c>
      <c r="CT22">
        <f t="shared" si="11"/>
        <v>6.2140151837198551E-3</v>
      </c>
      <c r="CU22">
        <f t="shared" si="11"/>
        <v>6.2903341814413939E-3</v>
      </c>
      <c r="CV22">
        <f t="shared" si="11"/>
        <v>6.3697631323259129E-3</v>
      </c>
    </row>
    <row r="23" spans="1:100" x14ac:dyDescent="0.2">
      <c r="A23">
        <v>0.1888889</v>
      </c>
      <c r="B23">
        <f t="shared" si="0"/>
        <v>3.5679016543209999E-2</v>
      </c>
      <c r="C23">
        <v>35</v>
      </c>
      <c r="D23">
        <f t="shared" si="1"/>
        <v>1225</v>
      </c>
      <c r="E23">
        <f t="shared" si="2"/>
        <v>6.6111114999999998</v>
      </c>
      <c r="F23">
        <v>7.9777800000000003E-3</v>
      </c>
      <c r="S23">
        <v>32</v>
      </c>
      <c r="T23">
        <f t="shared" si="5"/>
        <v>9.8167349617857662E-3</v>
      </c>
      <c r="U23">
        <f t="shared" si="5"/>
        <v>9.6503823822112391E-3</v>
      </c>
      <c r="V23">
        <f t="shared" si="5"/>
        <v>9.4871397557997061E-3</v>
      </c>
      <c r="W23">
        <f t="shared" si="5"/>
        <v>9.3270070825511673E-3</v>
      </c>
      <c r="X23">
        <f t="shared" si="5"/>
        <v>9.1699843624656226E-3</v>
      </c>
      <c r="Y23">
        <f t="shared" si="5"/>
        <v>9.0160715955430581E-3</v>
      </c>
      <c r="Z23">
        <f t="shared" si="5"/>
        <v>8.8652687817834877E-3</v>
      </c>
      <c r="AA23">
        <f t="shared" si="5"/>
        <v>8.7175759211868976E-3</v>
      </c>
      <c r="AB23">
        <f t="shared" si="5"/>
        <v>8.5729930137533154E-3</v>
      </c>
      <c r="AC23">
        <f t="shared" si="5"/>
        <v>8.4315200594827274E-3</v>
      </c>
      <c r="AD23">
        <f t="shared" si="5"/>
        <v>8.2931570583751196E-3</v>
      </c>
      <c r="AE23">
        <f t="shared" si="5"/>
        <v>8.157904010430506E-3</v>
      </c>
      <c r="AF23">
        <f t="shared" si="5"/>
        <v>8.0257609156488864E-3</v>
      </c>
      <c r="AG23">
        <f t="shared" si="5"/>
        <v>7.896727774030261E-3</v>
      </c>
      <c r="AH23">
        <f t="shared" si="5"/>
        <v>7.7708045855746158E-3</v>
      </c>
      <c r="AI23">
        <f t="shared" si="5"/>
        <v>7.6479913502819716E-3</v>
      </c>
      <c r="AJ23">
        <f t="shared" si="8"/>
        <v>7.5282880681523147E-3</v>
      </c>
      <c r="AK23">
        <f t="shared" si="8"/>
        <v>7.4116947391856449E-3</v>
      </c>
      <c r="AL23">
        <f t="shared" si="8"/>
        <v>7.2982113633819762E-3</v>
      </c>
      <c r="AM23">
        <f t="shared" si="8"/>
        <v>7.1878379407412946E-3</v>
      </c>
      <c r="AN23">
        <f t="shared" si="8"/>
        <v>7.0805744712636003E-3</v>
      </c>
      <c r="AO23">
        <f t="shared" si="8"/>
        <v>6.9764209549489069E-3</v>
      </c>
      <c r="AP23">
        <f t="shared" si="8"/>
        <v>6.8753773917972008E-3</v>
      </c>
      <c r="AQ23">
        <f t="shared" si="8"/>
        <v>6.7774437818084819E-3</v>
      </c>
      <c r="AR23">
        <f t="shared" si="8"/>
        <v>6.682620124982757E-3</v>
      </c>
      <c r="AS23">
        <f t="shared" si="8"/>
        <v>6.5909064213200193E-3</v>
      </c>
      <c r="AT23">
        <f t="shared" si="8"/>
        <v>6.5023026708202827E-3</v>
      </c>
      <c r="AU23">
        <f t="shared" si="8"/>
        <v>6.4168088734835333E-3</v>
      </c>
      <c r="AV23">
        <f t="shared" si="8"/>
        <v>6.3344250293097711E-3</v>
      </c>
      <c r="AW23">
        <f t="shared" si="8"/>
        <v>6.2551511382990029E-3</v>
      </c>
      <c r="AX23">
        <f t="shared" si="8"/>
        <v>6.1789872004512289E-3</v>
      </c>
      <c r="AY23">
        <f t="shared" si="8"/>
        <v>6.1059332157664421E-3</v>
      </c>
      <c r="AZ23">
        <f t="shared" si="9"/>
        <v>6.0359891842446493E-3</v>
      </c>
      <c r="BA23">
        <f t="shared" si="9"/>
        <v>5.9691551058858438E-3</v>
      </c>
      <c r="BB23">
        <f t="shared" si="9"/>
        <v>5.9054309806900324E-3</v>
      </c>
      <c r="BC23">
        <f t="shared" si="9"/>
        <v>5.844816808657215E-3</v>
      </c>
      <c r="BD23">
        <f t="shared" si="9"/>
        <v>5.7873125897873849E-3</v>
      </c>
      <c r="BE23">
        <f t="shared" si="9"/>
        <v>5.7329183240805489E-3</v>
      </c>
      <c r="BF23">
        <f t="shared" si="9"/>
        <v>5.681634011536707E-3</v>
      </c>
      <c r="BG23">
        <f t="shared" si="9"/>
        <v>5.6334596521558523E-3</v>
      </c>
      <c r="BH23">
        <f t="shared" si="9"/>
        <v>5.5883952459379847E-3</v>
      </c>
      <c r="BI23">
        <f t="shared" si="9"/>
        <v>5.5464407928831113E-3</v>
      </c>
      <c r="BJ23">
        <f t="shared" si="9"/>
        <v>5.507596292991232E-3</v>
      </c>
      <c r="BK23">
        <f t="shared" si="9"/>
        <v>5.4718617462623468E-3</v>
      </c>
      <c r="BL23">
        <f t="shared" si="9"/>
        <v>5.4392371526964479E-3</v>
      </c>
      <c r="BM23">
        <f t="shared" si="9"/>
        <v>5.409722512293544E-3</v>
      </c>
      <c r="BN23">
        <f t="shared" si="9"/>
        <v>5.3833178250536273E-3</v>
      </c>
      <c r="BO23">
        <f t="shared" si="9"/>
        <v>5.3600230909767056E-3</v>
      </c>
      <c r="BP23">
        <f t="shared" si="10"/>
        <v>5.3398383100627771E-3</v>
      </c>
      <c r="BQ23">
        <f t="shared" si="10"/>
        <v>5.3227634823118358E-3</v>
      </c>
      <c r="BR23">
        <f t="shared" si="10"/>
        <v>5.3087986077238816E-3</v>
      </c>
      <c r="BS23">
        <f t="shared" si="10"/>
        <v>5.2979436862989285E-3</v>
      </c>
      <c r="BT23">
        <f t="shared" si="10"/>
        <v>5.2901987180369626E-3</v>
      </c>
      <c r="BU23">
        <f t="shared" si="10"/>
        <v>5.2855637029379831E-3</v>
      </c>
      <c r="BV23">
        <f t="shared" si="10"/>
        <v>5.2840386410019985E-3</v>
      </c>
      <c r="BW23">
        <f t="shared" si="10"/>
        <v>5.2856235322290158E-3</v>
      </c>
      <c r="BX23">
        <f t="shared" si="10"/>
        <v>5.2903183766190116E-3</v>
      </c>
      <c r="BY23">
        <f t="shared" si="10"/>
        <v>5.2981231741720024E-3</v>
      </c>
      <c r="BZ23">
        <f t="shared" si="10"/>
        <v>5.3090379248879804E-3</v>
      </c>
      <c r="CA23">
        <f t="shared" si="10"/>
        <v>5.3230626287669603E-3</v>
      </c>
      <c r="CB23">
        <f t="shared" si="10"/>
        <v>5.3401972858089196E-3</v>
      </c>
      <c r="CC23">
        <f t="shared" si="10"/>
        <v>5.3604418960138799E-3</v>
      </c>
      <c r="CD23">
        <f t="shared" si="10"/>
        <v>5.3837964593818205E-3</v>
      </c>
      <c r="CE23">
        <f t="shared" si="10"/>
        <v>5.4102609759127691E-3</v>
      </c>
      <c r="CF23">
        <f t="shared" si="7"/>
        <v>5.4398354456066979E-3</v>
      </c>
      <c r="CG23">
        <f t="shared" si="11"/>
        <v>5.472519868463613E-3</v>
      </c>
      <c r="CH23">
        <f t="shared" si="11"/>
        <v>5.50831424448353E-3</v>
      </c>
      <c r="CI23">
        <f t="shared" si="11"/>
        <v>5.5472185736664343E-3</v>
      </c>
      <c r="CJ23">
        <f t="shared" si="11"/>
        <v>5.5892328560123326E-3</v>
      </c>
      <c r="CK23">
        <f t="shared" si="11"/>
        <v>5.6343570915212181E-3</v>
      </c>
      <c r="CL23">
        <f t="shared" si="11"/>
        <v>5.6825912801930977E-3</v>
      </c>
      <c r="CM23">
        <f t="shared" si="11"/>
        <v>5.7339354220279646E-3</v>
      </c>
      <c r="CN23">
        <f t="shared" si="11"/>
        <v>5.7883895170258264E-3</v>
      </c>
      <c r="CO23">
        <f t="shared" si="11"/>
        <v>5.8459535651866814E-3</v>
      </c>
      <c r="CP23">
        <f t="shared" si="11"/>
        <v>5.9066275665105167E-3</v>
      </c>
      <c r="CQ23">
        <f t="shared" si="11"/>
        <v>5.9704115209973591E-3</v>
      </c>
      <c r="CR23">
        <f t="shared" si="11"/>
        <v>6.0373054286471826E-3</v>
      </c>
      <c r="CS23">
        <f t="shared" si="11"/>
        <v>6.1073092894600002E-3</v>
      </c>
      <c r="CT23">
        <f t="shared" si="11"/>
        <v>6.180423103435812E-3</v>
      </c>
      <c r="CU23">
        <f t="shared" si="11"/>
        <v>6.2566468705746179E-3</v>
      </c>
      <c r="CV23">
        <f t="shared" si="11"/>
        <v>6.335980590876404E-3</v>
      </c>
    </row>
    <row r="24" spans="1:100" x14ac:dyDescent="0.2">
      <c r="A24">
        <v>0.27777780000000002</v>
      </c>
      <c r="B24">
        <f t="shared" si="0"/>
        <v>7.716050617284001E-2</v>
      </c>
      <c r="C24">
        <v>35</v>
      </c>
      <c r="D24">
        <f t="shared" si="1"/>
        <v>1225</v>
      </c>
      <c r="E24">
        <f t="shared" si="2"/>
        <v>9.7222230000000014</v>
      </c>
      <c r="F24">
        <v>6.7925900000000003E-3</v>
      </c>
      <c r="S24">
        <v>32.1</v>
      </c>
      <c r="T24">
        <f t="shared" si="5"/>
        <v>9.7914713206817324E-3</v>
      </c>
      <c r="U24">
        <f t="shared" si="5"/>
        <v>9.6250235105244716E-3</v>
      </c>
      <c r="V24">
        <f t="shared" si="5"/>
        <v>9.4616856535302066E-3</v>
      </c>
      <c r="W24">
        <f t="shared" si="5"/>
        <v>9.301457749698934E-3</v>
      </c>
      <c r="X24">
        <f t="shared" si="5"/>
        <v>9.1443397990306555E-3</v>
      </c>
      <c r="Y24">
        <f t="shared" si="5"/>
        <v>8.9903318015253589E-3</v>
      </c>
      <c r="Z24">
        <f t="shared" si="5"/>
        <v>8.8394337571830548E-3</v>
      </c>
      <c r="AA24">
        <f t="shared" si="5"/>
        <v>8.6916456660037309E-3</v>
      </c>
      <c r="AB24">
        <f t="shared" si="5"/>
        <v>8.5469675279874167E-3</v>
      </c>
      <c r="AC24">
        <f t="shared" si="5"/>
        <v>8.405399343134095E-3</v>
      </c>
      <c r="AD24">
        <f t="shared" si="5"/>
        <v>8.2669411114437534E-3</v>
      </c>
      <c r="AE24">
        <f t="shared" si="5"/>
        <v>8.1315928329164077E-3</v>
      </c>
      <c r="AF24">
        <f t="shared" si="5"/>
        <v>7.9993545075520544E-3</v>
      </c>
      <c r="AG24">
        <f t="shared" si="5"/>
        <v>7.8702261353506952E-3</v>
      </c>
      <c r="AH24">
        <f t="shared" si="5"/>
        <v>7.7442077163123171E-3</v>
      </c>
      <c r="AI24">
        <f t="shared" si="5"/>
        <v>7.6212992504369401E-3</v>
      </c>
      <c r="AJ24">
        <f t="shared" si="8"/>
        <v>7.5015007377245493E-3</v>
      </c>
      <c r="AK24">
        <f t="shared" si="8"/>
        <v>7.3848121781751467E-3</v>
      </c>
      <c r="AL24">
        <f t="shared" si="8"/>
        <v>7.2712335717887442E-3</v>
      </c>
      <c r="AM24">
        <f t="shared" si="8"/>
        <v>7.1607649185653297E-3</v>
      </c>
      <c r="AN24">
        <f t="shared" si="8"/>
        <v>7.0534062185049025E-3</v>
      </c>
      <c r="AO24">
        <f t="shared" si="8"/>
        <v>6.9491574716074754E-3</v>
      </c>
      <c r="AP24">
        <f t="shared" si="8"/>
        <v>6.8480186778730363E-3</v>
      </c>
      <c r="AQ24">
        <f t="shared" si="8"/>
        <v>6.7499898373015836E-3</v>
      </c>
      <c r="AR24">
        <f t="shared" si="8"/>
        <v>6.6550709498931259E-3</v>
      </c>
      <c r="AS24">
        <f t="shared" si="8"/>
        <v>6.5632620156476553E-3</v>
      </c>
      <c r="AT24">
        <f t="shared" si="8"/>
        <v>6.4745630345651849E-3</v>
      </c>
      <c r="AU24">
        <f t="shared" si="8"/>
        <v>6.3889740066457026E-3</v>
      </c>
      <c r="AV24">
        <f t="shared" si="8"/>
        <v>6.3064949318892075E-3</v>
      </c>
      <c r="AW24">
        <f t="shared" si="8"/>
        <v>6.2271258102957056E-3</v>
      </c>
      <c r="AX24">
        <f t="shared" si="8"/>
        <v>6.1508666418651986E-3</v>
      </c>
      <c r="AY24">
        <f t="shared" si="8"/>
        <v>6.0777174265976789E-3</v>
      </c>
      <c r="AZ24">
        <f t="shared" si="9"/>
        <v>6.0076781644931524E-3</v>
      </c>
      <c r="BA24">
        <f t="shared" si="9"/>
        <v>5.9407488555516131E-3</v>
      </c>
      <c r="BB24">
        <f t="shared" si="9"/>
        <v>5.8769294997730688E-3</v>
      </c>
      <c r="BC24">
        <f t="shared" si="9"/>
        <v>5.8162200971575186E-3</v>
      </c>
      <c r="BD24">
        <f t="shared" si="9"/>
        <v>5.7586206477049547E-3</v>
      </c>
      <c r="BE24">
        <f t="shared" si="9"/>
        <v>5.7041311514153857E-3</v>
      </c>
      <c r="BF24">
        <f t="shared" si="9"/>
        <v>5.6527516082888109E-3</v>
      </c>
      <c r="BG24">
        <f t="shared" si="9"/>
        <v>5.6044820183252225E-3</v>
      </c>
      <c r="BH24">
        <f t="shared" si="9"/>
        <v>5.559322381524622E-3</v>
      </c>
      <c r="BI24">
        <f t="shared" si="9"/>
        <v>5.5172726978870157E-3</v>
      </c>
      <c r="BJ24">
        <f t="shared" si="9"/>
        <v>5.4783329674124026E-3</v>
      </c>
      <c r="BK24">
        <f t="shared" si="9"/>
        <v>5.4425031901007845E-3</v>
      </c>
      <c r="BL24">
        <f t="shared" si="9"/>
        <v>5.4097833659521527E-3</v>
      </c>
      <c r="BM24">
        <f t="shared" si="9"/>
        <v>5.3801734949665159E-3</v>
      </c>
      <c r="BN24">
        <f t="shared" si="9"/>
        <v>5.3536735771438655E-3</v>
      </c>
      <c r="BO24">
        <f t="shared" si="9"/>
        <v>5.3302836124842108E-3</v>
      </c>
      <c r="BP24">
        <f t="shared" si="10"/>
        <v>5.3100036009875486E-3</v>
      </c>
      <c r="BQ24">
        <f t="shared" si="10"/>
        <v>5.2928335426538744E-3</v>
      </c>
      <c r="BR24">
        <f t="shared" si="10"/>
        <v>5.2787734374831865E-3</v>
      </c>
      <c r="BS24">
        <f t="shared" si="10"/>
        <v>5.2678232854755005E-3</v>
      </c>
      <c r="BT24">
        <f t="shared" si="10"/>
        <v>5.2599830866308008E-3</v>
      </c>
      <c r="BU24">
        <f t="shared" si="10"/>
        <v>5.2552528409490892E-3</v>
      </c>
      <c r="BV24">
        <f t="shared" si="10"/>
        <v>5.2536325484303717E-3</v>
      </c>
      <c r="BW24">
        <f t="shared" si="10"/>
        <v>5.2551222090746544E-3</v>
      </c>
      <c r="BX24">
        <f t="shared" si="10"/>
        <v>5.2597218228819173E-3</v>
      </c>
      <c r="BY24">
        <f t="shared" si="10"/>
        <v>5.2674313898521752E-3</v>
      </c>
      <c r="BZ24">
        <f t="shared" si="10"/>
        <v>5.2782509099854203E-3</v>
      </c>
      <c r="CA24">
        <f t="shared" si="10"/>
        <v>5.2921803832816664E-3</v>
      </c>
      <c r="CB24">
        <f t="shared" si="10"/>
        <v>5.3092198097408928E-3</v>
      </c>
      <c r="CC24">
        <f t="shared" si="10"/>
        <v>5.3293691893631194E-3</v>
      </c>
      <c r="CD24">
        <f t="shared" si="10"/>
        <v>5.3526285221483271E-3</v>
      </c>
      <c r="CE24">
        <f t="shared" si="10"/>
        <v>5.3789978080965428E-3</v>
      </c>
      <c r="CF24">
        <f t="shared" si="7"/>
        <v>5.4084770472077378E-3</v>
      </c>
      <c r="CG24">
        <f t="shared" si="11"/>
        <v>5.44106623948192E-3</v>
      </c>
      <c r="CH24">
        <f t="shared" si="11"/>
        <v>5.4767653849191042E-3</v>
      </c>
      <c r="CI24">
        <f t="shared" si="11"/>
        <v>5.5155744835192755E-3</v>
      </c>
      <c r="CJ24">
        <f t="shared" si="11"/>
        <v>5.5574935352824401E-3</v>
      </c>
      <c r="CK24">
        <f t="shared" si="11"/>
        <v>5.6025225402085918E-3</v>
      </c>
      <c r="CL24">
        <f t="shared" si="11"/>
        <v>5.6506614982977394E-3</v>
      </c>
      <c r="CM24">
        <f t="shared" si="11"/>
        <v>5.7019104095498725E-3</v>
      </c>
      <c r="CN24">
        <f t="shared" si="11"/>
        <v>5.7562692739650005E-3</v>
      </c>
      <c r="CO24">
        <f t="shared" si="11"/>
        <v>5.8137380915431226E-3</v>
      </c>
      <c r="CP24">
        <f t="shared" si="11"/>
        <v>5.8743168622842241E-3</v>
      </c>
      <c r="CQ24">
        <f t="shared" si="11"/>
        <v>5.9380055861883337E-3</v>
      </c>
      <c r="CR24">
        <f t="shared" si="11"/>
        <v>6.0048042632554243E-3</v>
      </c>
      <c r="CS24">
        <f t="shared" si="11"/>
        <v>6.074712893485509E-3</v>
      </c>
      <c r="CT24">
        <f t="shared" si="11"/>
        <v>6.147731476878587E-3</v>
      </c>
      <c r="CU24">
        <f t="shared" si="11"/>
        <v>6.22386001343466E-3</v>
      </c>
      <c r="CV24">
        <f t="shared" si="11"/>
        <v>6.3030985031537132E-3</v>
      </c>
    </row>
    <row r="25" spans="1:100" x14ac:dyDescent="0.2">
      <c r="A25">
        <v>0.36666670000000001</v>
      </c>
      <c r="B25">
        <f t="shared" si="0"/>
        <v>0.13444446888889</v>
      </c>
      <c r="C25">
        <v>35</v>
      </c>
      <c r="D25">
        <f t="shared" si="1"/>
        <v>1225</v>
      </c>
      <c r="E25">
        <f t="shared" si="2"/>
        <v>12.833334500000001</v>
      </c>
      <c r="F25">
        <v>6.1999999999999998E-3</v>
      </c>
      <c r="S25">
        <v>32.200000000000003</v>
      </c>
      <c r="T25">
        <f t="shared" si="5"/>
        <v>9.7671081333045098E-3</v>
      </c>
      <c r="U25">
        <f t="shared" si="5"/>
        <v>9.600565092564517E-3</v>
      </c>
      <c r="V25">
        <f t="shared" si="5"/>
        <v>9.4371320049875182E-3</v>
      </c>
      <c r="W25">
        <f t="shared" si="5"/>
        <v>9.2768088705735118E-3</v>
      </c>
      <c r="X25">
        <f t="shared" si="5"/>
        <v>9.1195956893225013E-3</v>
      </c>
      <c r="Y25">
        <f t="shared" si="5"/>
        <v>8.9654924612344693E-3</v>
      </c>
      <c r="Z25">
        <f t="shared" si="5"/>
        <v>8.8144991863094331E-3</v>
      </c>
      <c r="AA25">
        <f t="shared" si="5"/>
        <v>8.6666158645473772E-3</v>
      </c>
      <c r="AB25">
        <f t="shared" si="5"/>
        <v>8.5218424959483275E-3</v>
      </c>
      <c r="AC25">
        <f t="shared" si="5"/>
        <v>8.3801790805122737E-3</v>
      </c>
      <c r="AD25">
        <f t="shared" si="5"/>
        <v>8.2416256182391984E-3</v>
      </c>
      <c r="AE25">
        <f t="shared" si="5"/>
        <v>8.1061821091291189E-3</v>
      </c>
      <c r="AF25">
        <f t="shared" si="5"/>
        <v>7.9738485531820336E-3</v>
      </c>
      <c r="AG25">
        <f t="shared" si="5"/>
        <v>7.8446249503979406E-3</v>
      </c>
      <c r="AH25">
        <f t="shared" si="5"/>
        <v>7.7185113007768296E-3</v>
      </c>
      <c r="AI25">
        <f t="shared" si="5"/>
        <v>7.5955076043187188E-3</v>
      </c>
      <c r="AJ25">
        <f t="shared" si="8"/>
        <v>7.4756138610235952E-3</v>
      </c>
      <c r="AK25">
        <f t="shared" si="8"/>
        <v>7.3588300708914596E-3</v>
      </c>
      <c r="AL25">
        <f t="shared" si="8"/>
        <v>7.2451562339223242E-3</v>
      </c>
      <c r="AM25">
        <f t="shared" si="8"/>
        <v>7.134592350116176E-3</v>
      </c>
      <c r="AN25">
        <f t="shared" si="8"/>
        <v>7.0271384194730158E-3</v>
      </c>
      <c r="AO25">
        <f t="shared" si="8"/>
        <v>6.9227944419928559E-3</v>
      </c>
      <c r="AP25">
        <f t="shared" si="8"/>
        <v>6.8215604176756831E-3</v>
      </c>
      <c r="AQ25">
        <f t="shared" si="8"/>
        <v>6.7234363465214974E-3</v>
      </c>
      <c r="AR25">
        <f t="shared" si="8"/>
        <v>6.6284222285303059E-3</v>
      </c>
      <c r="AS25">
        <f t="shared" si="8"/>
        <v>6.5365180637021025E-3</v>
      </c>
      <c r="AT25">
        <f t="shared" si="8"/>
        <v>6.4477238520368992E-3</v>
      </c>
      <c r="AU25">
        <f t="shared" si="8"/>
        <v>6.3620395935346831E-3</v>
      </c>
      <c r="AV25">
        <f t="shared" si="8"/>
        <v>6.2794652881954542E-3</v>
      </c>
      <c r="AW25">
        <f t="shared" si="8"/>
        <v>6.2000009360192194E-3</v>
      </c>
      <c r="AX25">
        <f t="shared" si="8"/>
        <v>6.1236465370059796E-3</v>
      </c>
      <c r="AY25">
        <f t="shared" si="8"/>
        <v>6.0504020911557269E-3</v>
      </c>
      <c r="AZ25">
        <f t="shared" si="9"/>
        <v>5.9802675984684675E-3</v>
      </c>
      <c r="BA25">
        <f t="shared" si="9"/>
        <v>5.9132430589441953E-3</v>
      </c>
      <c r="BB25">
        <f t="shared" si="9"/>
        <v>5.8493284725829172E-3</v>
      </c>
      <c r="BC25">
        <f t="shared" si="9"/>
        <v>5.7885238393846333E-3</v>
      </c>
      <c r="BD25">
        <f t="shared" si="9"/>
        <v>5.7308291593493373E-3</v>
      </c>
      <c r="BE25">
        <f t="shared" si="9"/>
        <v>5.6762444324770346E-3</v>
      </c>
      <c r="BF25">
        <f t="shared" si="9"/>
        <v>5.6247696587677261E-3</v>
      </c>
      <c r="BG25">
        <f t="shared" si="9"/>
        <v>5.5764048382214047E-3</v>
      </c>
      <c r="BH25">
        <f t="shared" si="9"/>
        <v>5.5311499708380705E-3</v>
      </c>
      <c r="BI25">
        <f t="shared" si="9"/>
        <v>5.4890050566177313E-3</v>
      </c>
      <c r="BJ25">
        <f t="shared" si="9"/>
        <v>5.4499700955603853E-3</v>
      </c>
      <c r="BK25">
        <f t="shared" si="9"/>
        <v>5.4140450876660334E-3</v>
      </c>
      <c r="BL25">
        <f t="shared" si="9"/>
        <v>5.3812300329346687E-3</v>
      </c>
      <c r="BM25">
        <f t="shared" si="9"/>
        <v>5.3515249313662982E-3</v>
      </c>
      <c r="BN25">
        <f t="shared" si="9"/>
        <v>5.3249297829609157E-3</v>
      </c>
      <c r="BO25">
        <f t="shared" si="9"/>
        <v>5.3014445877185264E-3</v>
      </c>
      <c r="BP25">
        <f t="shared" si="10"/>
        <v>5.2810693456391312E-3</v>
      </c>
      <c r="BQ25">
        <f t="shared" si="10"/>
        <v>5.2638040567227241E-3</v>
      </c>
      <c r="BR25">
        <f t="shared" si="10"/>
        <v>5.2496487209693033E-3</v>
      </c>
      <c r="BS25">
        <f t="shared" si="10"/>
        <v>5.2386033383788836E-3</v>
      </c>
      <c r="BT25">
        <f t="shared" si="10"/>
        <v>5.2306679089514519E-3</v>
      </c>
      <c r="BU25">
        <f t="shared" si="10"/>
        <v>5.2258424326870057E-3</v>
      </c>
      <c r="BV25">
        <f t="shared" si="10"/>
        <v>5.2241269095855553E-3</v>
      </c>
      <c r="BW25">
        <f t="shared" si="10"/>
        <v>5.2255213396471059E-3</v>
      </c>
      <c r="BX25">
        <f t="shared" si="10"/>
        <v>5.2300257228716351E-3</v>
      </c>
      <c r="BY25">
        <f t="shared" si="10"/>
        <v>5.2376400592591601E-3</v>
      </c>
      <c r="BZ25">
        <f t="shared" si="10"/>
        <v>5.2483643488096705E-3</v>
      </c>
      <c r="CA25">
        <f t="shared" si="10"/>
        <v>5.2621985915231838E-3</v>
      </c>
      <c r="CB25">
        <f t="shared" si="10"/>
        <v>5.2791427873996773E-3</v>
      </c>
      <c r="CC25">
        <f t="shared" si="10"/>
        <v>5.2991969364391709E-3</v>
      </c>
      <c r="CD25">
        <f t="shared" si="10"/>
        <v>5.3223610386416449E-3</v>
      </c>
      <c r="CE25">
        <f t="shared" si="10"/>
        <v>5.3486350940071276E-3</v>
      </c>
      <c r="CF25">
        <f t="shared" si="7"/>
        <v>5.3780191025355889E-3</v>
      </c>
      <c r="CG25">
        <f t="shared" si="11"/>
        <v>5.4105130642270391E-3</v>
      </c>
      <c r="CH25">
        <f t="shared" si="11"/>
        <v>5.4461169790814886E-3</v>
      </c>
      <c r="CI25">
        <f t="shared" si="11"/>
        <v>5.484830847098927E-3</v>
      </c>
      <c r="CJ25">
        <f t="shared" si="11"/>
        <v>5.5266546682793587E-3</v>
      </c>
      <c r="CK25">
        <f t="shared" si="11"/>
        <v>5.5715884426227776E-3</v>
      </c>
      <c r="CL25">
        <f t="shared" si="11"/>
        <v>5.6196321701291914E-3</v>
      </c>
      <c r="CM25">
        <f t="shared" si="11"/>
        <v>5.6707858507985915E-3</v>
      </c>
      <c r="CN25">
        <f t="shared" si="11"/>
        <v>5.7250494846309867E-3</v>
      </c>
      <c r="CO25">
        <f t="shared" si="11"/>
        <v>5.782423071626375E-3</v>
      </c>
      <c r="CP25">
        <f t="shared" si="11"/>
        <v>5.8429066117847445E-3</v>
      </c>
      <c r="CQ25">
        <f t="shared" si="11"/>
        <v>5.9065001051061203E-3</v>
      </c>
      <c r="CR25">
        <f t="shared" si="11"/>
        <v>5.973203551590478E-3</v>
      </c>
      <c r="CS25">
        <f t="shared" si="11"/>
        <v>6.0430169512378281E-3</v>
      </c>
      <c r="CT25">
        <f t="shared" si="11"/>
        <v>6.1159403040481741E-3</v>
      </c>
      <c r="CU25">
        <f t="shared" si="11"/>
        <v>6.1919736100215133E-3</v>
      </c>
      <c r="CV25">
        <f t="shared" si="11"/>
        <v>6.2711168691578327E-3</v>
      </c>
    </row>
    <row r="26" spans="1:100" x14ac:dyDescent="0.2">
      <c r="A26">
        <v>0.4555556</v>
      </c>
      <c r="B26">
        <f t="shared" si="0"/>
        <v>0.20753090469136001</v>
      </c>
      <c r="C26">
        <v>35</v>
      </c>
      <c r="D26">
        <f t="shared" si="1"/>
        <v>1225</v>
      </c>
      <c r="E26">
        <f t="shared" si="2"/>
        <v>15.944446000000001</v>
      </c>
      <c r="F26">
        <v>6.0333299999999999E-3</v>
      </c>
      <c r="S26">
        <v>32.299999999999997</v>
      </c>
      <c r="T26">
        <f t="shared" si="5"/>
        <v>9.7436453996541123E-3</v>
      </c>
      <c r="U26">
        <f t="shared" si="5"/>
        <v>9.5770071283313857E-3</v>
      </c>
      <c r="V26">
        <f t="shared" si="5"/>
        <v>9.4134788101716532E-3</v>
      </c>
      <c r="W26">
        <f t="shared" si="5"/>
        <v>9.2530604451749147E-3</v>
      </c>
      <c r="X26">
        <f t="shared" si="5"/>
        <v>9.0957520333411705E-3</v>
      </c>
      <c r="Y26">
        <f t="shared" si="5"/>
        <v>8.9415535746704064E-3</v>
      </c>
      <c r="Z26">
        <f t="shared" si="5"/>
        <v>8.7904650691626365E-3</v>
      </c>
      <c r="AA26">
        <f t="shared" si="5"/>
        <v>8.6424865168178468E-3</v>
      </c>
      <c r="AB26">
        <f t="shared" ref="AB26:AQ41" si="12">$H$3+$H$4*AB$2+$H$5*AB$2*AB$2+$H$6*$S26+$H$7*$S26*$S26+$H$8*AB$2*$S26</f>
        <v>8.4976179176360651E-3</v>
      </c>
      <c r="AC26">
        <f t="shared" si="12"/>
        <v>8.3558592716172775E-3</v>
      </c>
      <c r="AD26">
        <f t="shared" si="12"/>
        <v>8.2172105787614701E-3</v>
      </c>
      <c r="AE26">
        <f t="shared" si="12"/>
        <v>8.0816718390686569E-3</v>
      </c>
      <c r="AF26">
        <f t="shared" si="12"/>
        <v>7.9492430525388378E-3</v>
      </c>
      <c r="AG26">
        <f t="shared" si="12"/>
        <v>7.8199242191720128E-3</v>
      </c>
      <c r="AH26">
        <f t="shared" si="12"/>
        <v>7.6937153389681672E-3</v>
      </c>
      <c r="AI26">
        <f t="shared" si="12"/>
        <v>7.5706164119273235E-3</v>
      </c>
      <c r="AJ26">
        <f t="shared" si="12"/>
        <v>7.450627438049467E-3</v>
      </c>
      <c r="AK26">
        <f t="shared" si="12"/>
        <v>7.3337484173345976E-3</v>
      </c>
      <c r="AL26">
        <f t="shared" si="12"/>
        <v>7.2199793497827293E-3</v>
      </c>
      <c r="AM26">
        <f t="shared" si="12"/>
        <v>7.1093202353938482E-3</v>
      </c>
      <c r="AN26">
        <f t="shared" si="12"/>
        <v>7.0017710741679543E-3</v>
      </c>
      <c r="AO26">
        <f t="shared" si="12"/>
        <v>6.8973318661050605E-3</v>
      </c>
      <c r="AP26">
        <f t="shared" si="12"/>
        <v>6.7960026112051548E-3</v>
      </c>
      <c r="AQ26">
        <f t="shared" si="12"/>
        <v>6.6977833094682363E-3</v>
      </c>
      <c r="AR26">
        <f t="shared" si="8"/>
        <v>6.6026739608943119E-3</v>
      </c>
      <c r="AS26">
        <f t="shared" si="8"/>
        <v>6.5106745654833747E-3</v>
      </c>
      <c r="AT26">
        <f t="shared" si="8"/>
        <v>6.4217851232354385E-3</v>
      </c>
      <c r="AU26">
        <f t="shared" si="8"/>
        <v>6.3360056341504895E-3</v>
      </c>
      <c r="AV26">
        <f t="shared" si="8"/>
        <v>6.2533360982285277E-3</v>
      </c>
      <c r="AW26">
        <f t="shared" si="8"/>
        <v>6.17377651546956E-3</v>
      </c>
      <c r="AX26">
        <f t="shared" si="8"/>
        <v>6.0973268858735856E-3</v>
      </c>
      <c r="AY26">
        <f t="shared" si="8"/>
        <v>6.0239872094406E-3</v>
      </c>
      <c r="AZ26">
        <f t="shared" si="9"/>
        <v>5.9537574861706077E-3</v>
      </c>
      <c r="BA26">
        <f t="shared" si="9"/>
        <v>5.8866377160636018E-3</v>
      </c>
      <c r="BB26">
        <f t="shared" si="9"/>
        <v>5.8226278991195908E-3</v>
      </c>
      <c r="BC26">
        <f t="shared" si="9"/>
        <v>5.7617280353385739E-3</v>
      </c>
      <c r="BD26">
        <f t="shared" si="9"/>
        <v>5.7039381247205442E-3</v>
      </c>
      <c r="BE26">
        <f t="shared" si="9"/>
        <v>5.6492581672655086E-3</v>
      </c>
      <c r="BF26">
        <f t="shared" si="9"/>
        <v>5.5976881629734663E-3</v>
      </c>
      <c r="BG26">
        <f t="shared" si="9"/>
        <v>5.549228111844412E-3</v>
      </c>
      <c r="BH26">
        <f t="shared" si="9"/>
        <v>5.5038780138783449E-3</v>
      </c>
      <c r="BI26">
        <f t="shared" si="9"/>
        <v>5.4616378690752719E-3</v>
      </c>
      <c r="BJ26">
        <f t="shared" si="9"/>
        <v>5.422507677435193E-3</v>
      </c>
      <c r="BK26">
        <f t="shared" si="9"/>
        <v>5.3864874389581083E-3</v>
      </c>
      <c r="BL26">
        <f t="shared" si="9"/>
        <v>5.3535771536440107E-3</v>
      </c>
      <c r="BM26">
        <f t="shared" si="9"/>
        <v>5.3237768214929072E-3</v>
      </c>
      <c r="BN26">
        <f t="shared" si="9"/>
        <v>5.297086442504791E-3</v>
      </c>
      <c r="BO26">
        <f t="shared" ref="BO26:CD41" si="13">$H$3+$H$4*BO$2+$H$5*BO$2*BO$2+$H$6*$S26+$H$7*$S26*$S26+$H$8*BO$2*$S26</f>
        <v>5.2735060166796688E-3</v>
      </c>
      <c r="BP26">
        <f t="shared" si="13"/>
        <v>5.2530355440175407E-3</v>
      </c>
      <c r="BQ26">
        <f t="shared" si="13"/>
        <v>5.2356750245183999E-3</v>
      </c>
      <c r="BR26">
        <f t="shared" si="13"/>
        <v>5.2214244581822453E-3</v>
      </c>
      <c r="BS26">
        <f t="shared" si="13"/>
        <v>5.2102838450090927E-3</v>
      </c>
      <c r="BT26">
        <f t="shared" si="13"/>
        <v>5.2022531849989272E-3</v>
      </c>
      <c r="BU26">
        <f t="shared" si="13"/>
        <v>5.1973324781517489E-3</v>
      </c>
      <c r="BV26">
        <f t="shared" si="13"/>
        <v>5.1955217244675639E-3</v>
      </c>
      <c r="BW26">
        <f t="shared" si="13"/>
        <v>5.1968209239463816E-3</v>
      </c>
      <c r="BX26">
        <f t="shared" si="13"/>
        <v>5.2012300765881779E-3</v>
      </c>
      <c r="BY26">
        <f t="shared" si="13"/>
        <v>5.2087491823929691E-3</v>
      </c>
      <c r="BZ26">
        <f t="shared" si="13"/>
        <v>5.2193782413607476E-3</v>
      </c>
      <c r="CA26">
        <f t="shared" si="13"/>
        <v>5.2331172534915271E-3</v>
      </c>
      <c r="CB26">
        <f t="shared" si="13"/>
        <v>5.2499662187852868E-3</v>
      </c>
      <c r="CC26">
        <f t="shared" si="13"/>
        <v>5.2699251372420475E-3</v>
      </c>
      <c r="CD26">
        <f t="shared" si="13"/>
        <v>5.2929940088617886E-3</v>
      </c>
      <c r="CE26">
        <f t="shared" si="10"/>
        <v>5.3191728336445376E-3</v>
      </c>
      <c r="CF26">
        <f t="shared" si="7"/>
        <v>5.3484616115902668E-3</v>
      </c>
      <c r="CG26">
        <f t="shared" si="11"/>
        <v>5.3808603426989832E-3</v>
      </c>
      <c r="CH26">
        <f t="shared" si="11"/>
        <v>5.4163690269706999E-3</v>
      </c>
      <c r="CI26">
        <f t="shared" si="11"/>
        <v>5.4549876644054045E-3</v>
      </c>
      <c r="CJ26">
        <f t="shared" si="11"/>
        <v>5.4967162550031033E-3</v>
      </c>
      <c r="CK26">
        <f t="shared" si="11"/>
        <v>5.5415547987637892E-3</v>
      </c>
      <c r="CL26">
        <f t="shared" si="11"/>
        <v>5.5895032956874684E-3</v>
      </c>
      <c r="CM26">
        <f t="shared" si="11"/>
        <v>5.6405617457741357E-3</v>
      </c>
      <c r="CN26">
        <f t="shared" si="11"/>
        <v>5.6947301490237979E-3</v>
      </c>
      <c r="CO26">
        <f t="shared" si="11"/>
        <v>5.7520085054364534E-3</v>
      </c>
      <c r="CP26">
        <f t="shared" si="11"/>
        <v>5.8123968150120891E-3</v>
      </c>
      <c r="CQ26">
        <f t="shared" si="11"/>
        <v>5.875895077750732E-3</v>
      </c>
      <c r="CR26">
        <f t="shared" si="11"/>
        <v>5.9425032936523559E-3</v>
      </c>
      <c r="CS26">
        <f t="shared" si="11"/>
        <v>6.012221462716974E-3</v>
      </c>
      <c r="CT26">
        <f t="shared" si="11"/>
        <v>6.0850495849445862E-3</v>
      </c>
      <c r="CU26">
        <f t="shared" si="11"/>
        <v>6.1609876603351925E-3</v>
      </c>
      <c r="CV26">
        <f t="shared" si="11"/>
        <v>6.240035688888779E-3</v>
      </c>
    </row>
    <row r="27" spans="1:100" x14ac:dyDescent="0.2">
      <c r="A27">
        <v>0.54444440000000005</v>
      </c>
      <c r="B27">
        <f t="shared" si="0"/>
        <v>0.29641970469136003</v>
      </c>
      <c r="C27">
        <v>35</v>
      </c>
      <c r="D27">
        <f t="shared" si="1"/>
        <v>1225</v>
      </c>
      <c r="E27">
        <f t="shared" si="2"/>
        <v>19.055554000000001</v>
      </c>
      <c r="F27">
        <v>5.4407400000000003E-3</v>
      </c>
      <c r="S27">
        <v>32.4</v>
      </c>
      <c r="T27">
        <f t="shared" ref="T27:AI42" si="14">$H$3+$H$4*T$2+$H$5*T$2*T$2+$H$6*$S27+$H$7*$S27*$S27+$H$8*T$2*$S27</f>
        <v>9.7210831197305347E-3</v>
      </c>
      <c r="U27">
        <f t="shared" si="14"/>
        <v>9.5543496178250743E-3</v>
      </c>
      <c r="V27">
        <f t="shared" si="14"/>
        <v>9.390726069082608E-3</v>
      </c>
      <c r="W27">
        <f t="shared" si="14"/>
        <v>9.2302124735031358E-3</v>
      </c>
      <c r="X27">
        <f t="shared" si="14"/>
        <v>9.0728088310866595E-3</v>
      </c>
      <c r="Y27">
        <f t="shared" si="14"/>
        <v>8.9185151418331617E-3</v>
      </c>
      <c r="Z27">
        <f t="shared" si="14"/>
        <v>8.767331405742658E-3</v>
      </c>
      <c r="AA27">
        <f t="shared" si="14"/>
        <v>8.6192576228151345E-3</v>
      </c>
      <c r="AB27">
        <f t="shared" si="14"/>
        <v>8.4742937930506208E-3</v>
      </c>
      <c r="AC27">
        <f t="shared" si="14"/>
        <v>8.3324399164490994E-3</v>
      </c>
      <c r="AD27">
        <f t="shared" si="14"/>
        <v>8.1936959930105583E-3</v>
      </c>
      <c r="AE27">
        <f t="shared" si="14"/>
        <v>8.0580620227350113E-3</v>
      </c>
      <c r="AF27">
        <f t="shared" si="14"/>
        <v>7.9255380056224602E-3</v>
      </c>
      <c r="AG27">
        <f t="shared" si="14"/>
        <v>7.7961239416729014E-3</v>
      </c>
      <c r="AH27">
        <f t="shared" si="14"/>
        <v>7.6698198308863229E-3</v>
      </c>
      <c r="AI27">
        <f t="shared" si="14"/>
        <v>7.5466256732627463E-3</v>
      </c>
      <c r="AJ27">
        <f t="shared" si="12"/>
        <v>7.426541468802156E-3</v>
      </c>
      <c r="AK27">
        <f t="shared" si="12"/>
        <v>7.3095672175045538E-3</v>
      </c>
      <c r="AL27">
        <f t="shared" si="12"/>
        <v>7.1957029193699517E-3</v>
      </c>
      <c r="AM27">
        <f t="shared" si="12"/>
        <v>7.0849485743983377E-3</v>
      </c>
      <c r="AN27">
        <f t="shared" si="12"/>
        <v>6.9773041825897109E-3</v>
      </c>
      <c r="AO27">
        <f t="shared" si="12"/>
        <v>6.8727697439440842E-3</v>
      </c>
      <c r="AP27">
        <f t="shared" si="12"/>
        <v>6.7713452584614447E-3</v>
      </c>
      <c r="AQ27">
        <f t="shared" si="12"/>
        <v>6.6730307261417933E-3</v>
      </c>
      <c r="AR27">
        <f t="shared" si="8"/>
        <v>6.577826146985136E-3</v>
      </c>
      <c r="AS27">
        <f t="shared" si="8"/>
        <v>6.485731520991465E-3</v>
      </c>
      <c r="AT27">
        <f t="shared" si="8"/>
        <v>6.396746848160796E-3</v>
      </c>
      <c r="AU27">
        <f t="shared" si="8"/>
        <v>6.3108721284931132E-3</v>
      </c>
      <c r="AV27">
        <f t="shared" si="8"/>
        <v>6.2281073619884185E-3</v>
      </c>
      <c r="AW27">
        <f t="shared" si="8"/>
        <v>6.148452548646717E-3</v>
      </c>
      <c r="AX27">
        <f t="shared" si="8"/>
        <v>6.0719076884680097E-3</v>
      </c>
      <c r="AY27">
        <f t="shared" ref="AY27:BN42" si="15">$H$3+$H$4*AY$2+$H$5*AY$2*AY$2+$H$6*$S27+$H$7*$S27*$S27+$H$8*AY$2*$S27</f>
        <v>5.9984727814522904E-3</v>
      </c>
      <c r="AZ27">
        <f t="shared" si="15"/>
        <v>5.9281478275995652E-3</v>
      </c>
      <c r="BA27">
        <f t="shared" si="15"/>
        <v>5.8609328269098263E-3</v>
      </c>
      <c r="BB27">
        <f t="shared" si="15"/>
        <v>5.7968277793830824E-3</v>
      </c>
      <c r="BC27">
        <f t="shared" si="15"/>
        <v>5.7358326850193318E-3</v>
      </c>
      <c r="BD27">
        <f t="shared" si="15"/>
        <v>5.6779475438185692E-3</v>
      </c>
      <c r="BE27">
        <f t="shared" si="15"/>
        <v>5.6231723557807999E-3</v>
      </c>
      <c r="BF27">
        <f t="shared" si="15"/>
        <v>5.5715071209060255E-3</v>
      </c>
      <c r="BG27">
        <f t="shared" si="15"/>
        <v>5.5229518391942374E-3</v>
      </c>
      <c r="BH27">
        <f t="shared" si="15"/>
        <v>5.4775065106454374E-3</v>
      </c>
      <c r="BI27">
        <f t="shared" si="15"/>
        <v>5.4351711352596307E-3</v>
      </c>
      <c r="BJ27">
        <f t="shared" si="15"/>
        <v>5.3959457130368189E-3</v>
      </c>
      <c r="BK27">
        <f t="shared" si="15"/>
        <v>5.3598302439770013E-3</v>
      </c>
      <c r="BL27">
        <f t="shared" si="15"/>
        <v>5.3268247280801699E-3</v>
      </c>
      <c r="BM27">
        <f t="shared" si="15"/>
        <v>5.2969291653463327E-3</v>
      </c>
      <c r="BN27">
        <f t="shared" si="15"/>
        <v>5.2701435557754835E-3</v>
      </c>
      <c r="BO27">
        <f t="shared" si="13"/>
        <v>5.2464678993676284E-3</v>
      </c>
      <c r="BP27">
        <f t="shared" si="13"/>
        <v>5.2259021961227666E-3</v>
      </c>
      <c r="BQ27">
        <f t="shared" si="13"/>
        <v>5.208446446040892E-3</v>
      </c>
      <c r="BR27">
        <f t="shared" si="13"/>
        <v>5.1941006491220054E-3</v>
      </c>
      <c r="BS27">
        <f t="shared" si="13"/>
        <v>5.1828648053661198E-3</v>
      </c>
      <c r="BT27">
        <f t="shared" si="13"/>
        <v>5.1747389147732206E-3</v>
      </c>
      <c r="BU27">
        <f t="shared" si="13"/>
        <v>5.1697229773433086E-3</v>
      </c>
      <c r="BV27">
        <f t="shared" si="13"/>
        <v>5.1678169930763915E-3</v>
      </c>
      <c r="BW27">
        <f t="shared" si="13"/>
        <v>5.1690209619724755E-3</v>
      </c>
      <c r="BX27">
        <f t="shared" si="13"/>
        <v>5.1733348840315389E-3</v>
      </c>
      <c r="BY27">
        <f t="shared" si="13"/>
        <v>5.1807587592535963E-3</v>
      </c>
      <c r="BZ27">
        <f t="shared" si="13"/>
        <v>5.1912925876386419E-3</v>
      </c>
      <c r="CA27">
        <f t="shared" si="13"/>
        <v>5.2049363691866884E-3</v>
      </c>
      <c r="CB27">
        <f t="shared" si="13"/>
        <v>5.2216901038977144E-3</v>
      </c>
      <c r="CC27">
        <f t="shared" si="13"/>
        <v>5.2415537917717423E-3</v>
      </c>
      <c r="CD27">
        <f t="shared" si="13"/>
        <v>5.2645274328087504E-3</v>
      </c>
      <c r="CE27">
        <f t="shared" si="10"/>
        <v>5.2906110270087656E-3</v>
      </c>
      <c r="CF27">
        <f t="shared" si="7"/>
        <v>5.3198045743717611E-3</v>
      </c>
      <c r="CG27">
        <f t="shared" si="11"/>
        <v>5.3521080748977438E-3</v>
      </c>
      <c r="CH27">
        <f t="shared" si="11"/>
        <v>5.3875215285867284E-3</v>
      </c>
      <c r="CI27">
        <f t="shared" si="11"/>
        <v>5.4260449354387001E-3</v>
      </c>
      <c r="CJ27">
        <f t="shared" si="11"/>
        <v>5.4676782954536651E-3</v>
      </c>
      <c r="CK27">
        <f t="shared" si="11"/>
        <v>5.5124216086316173E-3</v>
      </c>
      <c r="CL27">
        <f t="shared" si="11"/>
        <v>5.5602748749725645E-3</v>
      </c>
      <c r="CM27">
        <f t="shared" si="11"/>
        <v>5.6112380944764988E-3</v>
      </c>
      <c r="CN27">
        <f t="shared" si="11"/>
        <v>5.6653112671434264E-3</v>
      </c>
      <c r="CO27">
        <f t="shared" si="11"/>
        <v>5.722494392973349E-3</v>
      </c>
      <c r="CP27">
        <f t="shared" si="11"/>
        <v>5.7827874719662518E-3</v>
      </c>
      <c r="CQ27">
        <f t="shared" si="11"/>
        <v>5.8461905041221618E-3</v>
      </c>
      <c r="CR27">
        <f t="shared" si="11"/>
        <v>5.912703489441052E-3</v>
      </c>
      <c r="CS27">
        <f t="shared" si="11"/>
        <v>5.9823264279229372E-3</v>
      </c>
      <c r="CT27">
        <f t="shared" si="11"/>
        <v>6.0550593195678164E-3</v>
      </c>
      <c r="CU27">
        <f t="shared" si="11"/>
        <v>6.130902164375689E-3</v>
      </c>
      <c r="CV27">
        <f t="shared" si="11"/>
        <v>6.2098549623465418E-3</v>
      </c>
    </row>
    <row r="28" spans="1:100" x14ac:dyDescent="0.2">
      <c r="A28">
        <v>0.63333329999999999</v>
      </c>
      <c r="B28">
        <f t="shared" si="0"/>
        <v>0.40111106888888998</v>
      </c>
      <c r="C28">
        <v>35</v>
      </c>
      <c r="D28">
        <f t="shared" si="1"/>
        <v>1225</v>
      </c>
      <c r="E28">
        <f t="shared" si="2"/>
        <v>22.166665500000001</v>
      </c>
      <c r="F28">
        <v>5.1000000000000004E-3</v>
      </c>
      <c r="S28">
        <v>32.5</v>
      </c>
      <c r="T28">
        <f t="shared" si="14"/>
        <v>9.6994212935337595E-3</v>
      </c>
      <c r="U28">
        <f t="shared" si="14"/>
        <v>9.5325925610455654E-3</v>
      </c>
      <c r="V28">
        <f t="shared" si="14"/>
        <v>9.368873781720367E-3</v>
      </c>
      <c r="W28">
        <f t="shared" si="14"/>
        <v>9.2082649555581611E-3</v>
      </c>
      <c r="X28">
        <f t="shared" si="14"/>
        <v>9.050766082558951E-3</v>
      </c>
      <c r="Y28">
        <f t="shared" si="14"/>
        <v>8.8963771627227212E-3</v>
      </c>
      <c r="Z28">
        <f t="shared" si="14"/>
        <v>8.7450981960494837E-3</v>
      </c>
      <c r="AA28">
        <f t="shared" si="14"/>
        <v>8.5969291825392282E-3</v>
      </c>
      <c r="AB28">
        <f t="shared" si="14"/>
        <v>8.451870122191979E-3</v>
      </c>
      <c r="AC28">
        <f t="shared" si="14"/>
        <v>8.3099210150077256E-3</v>
      </c>
      <c r="AD28">
        <f t="shared" si="14"/>
        <v>8.1710818609864507E-3</v>
      </c>
      <c r="AE28">
        <f t="shared" si="14"/>
        <v>8.0353526601281717E-3</v>
      </c>
      <c r="AF28">
        <f t="shared" si="14"/>
        <v>7.9027334124328868E-3</v>
      </c>
      <c r="AG28">
        <f t="shared" si="14"/>
        <v>7.7732241179005943E-3</v>
      </c>
      <c r="AH28">
        <f t="shared" si="14"/>
        <v>7.6468247765312837E-3</v>
      </c>
      <c r="AI28">
        <f t="shared" si="14"/>
        <v>7.5235353883249733E-3</v>
      </c>
      <c r="AJ28">
        <f t="shared" si="12"/>
        <v>7.4033559532816502E-3</v>
      </c>
      <c r="AK28">
        <f t="shared" si="12"/>
        <v>7.2862864714013141E-3</v>
      </c>
      <c r="AL28">
        <f t="shared" si="12"/>
        <v>7.1723269426839792E-3</v>
      </c>
      <c r="AM28">
        <f t="shared" si="12"/>
        <v>7.0614773671296314E-3</v>
      </c>
      <c r="AN28">
        <f t="shared" si="12"/>
        <v>6.9537377447382708E-3</v>
      </c>
      <c r="AO28">
        <f t="shared" si="12"/>
        <v>6.8491080755099121E-3</v>
      </c>
      <c r="AP28">
        <f t="shared" si="12"/>
        <v>6.7475883594445389E-3</v>
      </c>
      <c r="AQ28">
        <f t="shared" si="12"/>
        <v>6.6491785965421546E-3</v>
      </c>
      <c r="AR28">
        <f t="shared" ref="AR28:BG43" si="16">$H$3+$H$4*AR$2+$H$5*AR$2*AR$2+$H$6*$S28+$H$7*$S28*$S28+$H$8*AR$2*$S28</f>
        <v>6.5538787868027635E-3</v>
      </c>
      <c r="AS28">
        <f t="shared" si="16"/>
        <v>6.4616889302263596E-3</v>
      </c>
      <c r="AT28">
        <f t="shared" si="16"/>
        <v>6.3726090268129568E-3</v>
      </c>
      <c r="AU28">
        <f t="shared" si="16"/>
        <v>6.2866390765625411E-3</v>
      </c>
      <c r="AV28">
        <f t="shared" si="16"/>
        <v>6.2037790794751135E-3</v>
      </c>
      <c r="AW28">
        <f t="shared" si="16"/>
        <v>6.1240290355506783E-3</v>
      </c>
      <c r="AX28">
        <f t="shared" si="16"/>
        <v>6.0473889447892389E-3</v>
      </c>
      <c r="AY28">
        <f t="shared" si="16"/>
        <v>5.9738588071907859E-3</v>
      </c>
      <c r="AZ28">
        <f t="shared" si="16"/>
        <v>5.9034386227553269E-3</v>
      </c>
      <c r="BA28">
        <f t="shared" si="16"/>
        <v>5.8361283914828551E-3</v>
      </c>
      <c r="BB28">
        <f t="shared" si="16"/>
        <v>5.7719281133733775E-3</v>
      </c>
      <c r="BC28">
        <f t="shared" si="16"/>
        <v>5.7108377884268948E-3</v>
      </c>
      <c r="BD28">
        <f t="shared" si="16"/>
        <v>5.6528574166433984E-3</v>
      </c>
      <c r="BE28">
        <f t="shared" si="16"/>
        <v>5.5979869980228962E-3</v>
      </c>
      <c r="BF28">
        <f t="shared" si="16"/>
        <v>5.5462265325653881E-3</v>
      </c>
      <c r="BG28">
        <f t="shared" si="16"/>
        <v>5.4975760202708671E-3</v>
      </c>
      <c r="BH28">
        <f t="shared" si="15"/>
        <v>5.4520354611393334E-3</v>
      </c>
      <c r="BI28">
        <f t="shared" si="15"/>
        <v>5.4096048551707937E-3</v>
      </c>
      <c r="BJ28">
        <f t="shared" si="15"/>
        <v>5.370284202365249E-3</v>
      </c>
      <c r="BK28">
        <f t="shared" si="15"/>
        <v>5.3340735027226976E-3</v>
      </c>
      <c r="BL28">
        <f t="shared" si="15"/>
        <v>5.3009727562431334E-3</v>
      </c>
      <c r="BM28">
        <f t="shared" si="15"/>
        <v>5.2709819629265632E-3</v>
      </c>
      <c r="BN28">
        <f t="shared" si="15"/>
        <v>5.2441011227729803E-3</v>
      </c>
      <c r="BO28">
        <f t="shared" si="13"/>
        <v>5.2203302357823923E-3</v>
      </c>
      <c r="BP28">
        <f t="shared" si="13"/>
        <v>5.1996693019547967E-3</v>
      </c>
      <c r="BQ28">
        <f t="shared" si="13"/>
        <v>5.1821183212901901E-3</v>
      </c>
      <c r="BR28">
        <f t="shared" si="13"/>
        <v>5.1676772937885697E-3</v>
      </c>
      <c r="BS28">
        <f t="shared" si="13"/>
        <v>5.1563462194499504E-3</v>
      </c>
      <c r="BT28">
        <f t="shared" si="13"/>
        <v>5.1481250982743183E-3</v>
      </c>
      <c r="BU28">
        <f t="shared" si="13"/>
        <v>5.1430139302616733E-3</v>
      </c>
      <c r="BV28">
        <f t="shared" si="13"/>
        <v>5.1410127154120225E-3</v>
      </c>
      <c r="BW28">
        <f t="shared" si="13"/>
        <v>5.1421214537253727E-3</v>
      </c>
      <c r="BX28">
        <f t="shared" si="13"/>
        <v>5.1463401452017041E-3</v>
      </c>
      <c r="BY28">
        <f t="shared" si="13"/>
        <v>5.1536687898410278E-3</v>
      </c>
      <c r="BZ28">
        <f t="shared" si="13"/>
        <v>5.1641073876433404E-3</v>
      </c>
      <c r="CA28">
        <f t="shared" si="13"/>
        <v>5.1776559386086541E-3</v>
      </c>
      <c r="CB28">
        <f t="shared" si="13"/>
        <v>5.1943144427369463E-3</v>
      </c>
      <c r="CC28">
        <f t="shared" si="13"/>
        <v>5.2140829000282413E-3</v>
      </c>
      <c r="CD28">
        <f t="shared" si="13"/>
        <v>5.2369613104825147E-3</v>
      </c>
      <c r="CE28">
        <f t="shared" si="10"/>
        <v>5.262949674099798E-3</v>
      </c>
      <c r="CF28">
        <f t="shared" si="7"/>
        <v>5.2920479908800605E-3</v>
      </c>
      <c r="CG28">
        <f t="shared" si="11"/>
        <v>5.3242562608233103E-3</v>
      </c>
      <c r="CH28">
        <f t="shared" si="11"/>
        <v>5.3595744839295611E-3</v>
      </c>
      <c r="CI28">
        <f t="shared" si="11"/>
        <v>5.3980026601987991E-3</v>
      </c>
      <c r="CJ28">
        <f t="shared" si="11"/>
        <v>5.4395407896310312E-3</v>
      </c>
      <c r="CK28">
        <f t="shared" si="11"/>
        <v>5.4841888722262505E-3</v>
      </c>
      <c r="CL28">
        <f t="shared" si="11"/>
        <v>5.5319469079844648E-3</v>
      </c>
      <c r="CM28">
        <f t="shared" si="11"/>
        <v>5.5828148969056645E-3</v>
      </c>
      <c r="CN28">
        <f t="shared" si="11"/>
        <v>5.6367928389898601E-3</v>
      </c>
      <c r="CO28">
        <f t="shared" si="11"/>
        <v>5.6938807342370498E-3</v>
      </c>
      <c r="CP28">
        <f t="shared" si="11"/>
        <v>5.7540785826472179E-3</v>
      </c>
      <c r="CQ28">
        <f t="shared" si="11"/>
        <v>5.8173863842203959E-3</v>
      </c>
      <c r="CR28">
        <f t="shared" si="11"/>
        <v>5.8838041389565523E-3</v>
      </c>
      <c r="CS28">
        <f t="shared" si="11"/>
        <v>5.9533318468557046E-3</v>
      </c>
      <c r="CT28">
        <f t="shared" si="11"/>
        <v>6.0259695079178492E-3</v>
      </c>
      <c r="CU28">
        <f t="shared" si="11"/>
        <v>6.1017171221429897E-3</v>
      </c>
      <c r="CV28">
        <f t="shared" si="11"/>
        <v>6.1805746895311096E-3</v>
      </c>
    </row>
    <row r="29" spans="1:100" x14ac:dyDescent="0.2">
      <c r="A29">
        <v>0.72222220000000004</v>
      </c>
      <c r="B29">
        <f t="shared" si="0"/>
        <v>0.52160490617284005</v>
      </c>
      <c r="C29">
        <v>35</v>
      </c>
      <c r="D29">
        <f t="shared" si="1"/>
        <v>1225</v>
      </c>
      <c r="E29">
        <f t="shared" si="2"/>
        <v>25.277777</v>
      </c>
      <c r="F29">
        <v>5.7074099999999996E-3</v>
      </c>
      <c r="S29">
        <v>32.6</v>
      </c>
      <c r="T29">
        <f t="shared" si="14"/>
        <v>9.6786599210638095E-3</v>
      </c>
      <c r="U29">
        <f t="shared" si="14"/>
        <v>9.5117359579928833E-3</v>
      </c>
      <c r="V29">
        <f t="shared" si="14"/>
        <v>9.3479219480849512E-3</v>
      </c>
      <c r="W29">
        <f t="shared" si="14"/>
        <v>9.1872178913400132E-3</v>
      </c>
      <c r="X29">
        <f t="shared" si="14"/>
        <v>9.0296237877580676E-3</v>
      </c>
      <c r="Y29">
        <f t="shared" si="14"/>
        <v>8.875139637339104E-3</v>
      </c>
      <c r="Z29">
        <f t="shared" si="14"/>
        <v>8.7237654400831345E-3</v>
      </c>
      <c r="AA29">
        <f t="shared" si="14"/>
        <v>8.5755011959901453E-3</v>
      </c>
      <c r="AB29">
        <f t="shared" si="14"/>
        <v>8.430346905060164E-3</v>
      </c>
      <c r="AC29">
        <f t="shared" si="14"/>
        <v>8.2883025672931768E-3</v>
      </c>
      <c r="AD29">
        <f t="shared" si="14"/>
        <v>8.1493681826891699E-3</v>
      </c>
      <c r="AE29">
        <f t="shared" si="14"/>
        <v>8.0135437512481571E-3</v>
      </c>
      <c r="AF29">
        <f t="shared" si="14"/>
        <v>7.8808292729701385E-3</v>
      </c>
      <c r="AG29">
        <f t="shared" si="14"/>
        <v>7.751224747855113E-3</v>
      </c>
      <c r="AH29">
        <f t="shared" si="14"/>
        <v>7.6247301759030687E-3</v>
      </c>
      <c r="AI29">
        <f t="shared" si="14"/>
        <v>7.5013455571140246E-3</v>
      </c>
      <c r="AJ29">
        <f t="shared" si="12"/>
        <v>7.3810708914879685E-3</v>
      </c>
      <c r="AK29">
        <f t="shared" si="12"/>
        <v>7.2639061790248996E-3</v>
      </c>
      <c r="AL29">
        <f t="shared" si="12"/>
        <v>7.1498514197248317E-3</v>
      </c>
      <c r="AM29">
        <f t="shared" si="12"/>
        <v>7.0389066135877511E-3</v>
      </c>
      <c r="AN29">
        <f t="shared" si="12"/>
        <v>6.9310717606136567E-3</v>
      </c>
      <c r="AO29">
        <f t="shared" si="12"/>
        <v>6.8263468608025643E-3</v>
      </c>
      <c r="AP29">
        <f t="shared" si="12"/>
        <v>6.724731914154459E-3</v>
      </c>
      <c r="AQ29">
        <f t="shared" si="12"/>
        <v>6.6262269206693401E-3</v>
      </c>
      <c r="AR29">
        <f t="shared" si="16"/>
        <v>6.5308318803472161E-3</v>
      </c>
      <c r="AS29">
        <f t="shared" si="16"/>
        <v>6.4385467931880793E-3</v>
      </c>
      <c r="AT29">
        <f t="shared" si="16"/>
        <v>6.3493716591919436E-3</v>
      </c>
      <c r="AU29">
        <f t="shared" si="16"/>
        <v>6.263306478358795E-3</v>
      </c>
      <c r="AV29">
        <f t="shared" si="16"/>
        <v>6.1803512506886328E-3</v>
      </c>
      <c r="AW29">
        <f t="shared" si="16"/>
        <v>6.1005059761814655E-3</v>
      </c>
      <c r="AX29">
        <f t="shared" si="16"/>
        <v>6.0237706548372924E-3</v>
      </c>
      <c r="AY29">
        <f t="shared" si="16"/>
        <v>5.9501452866561064E-3</v>
      </c>
      <c r="AZ29">
        <f t="shared" si="16"/>
        <v>5.8796298716379146E-3</v>
      </c>
      <c r="BA29">
        <f t="shared" si="16"/>
        <v>5.812224409782709E-3</v>
      </c>
      <c r="BB29">
        <f t="shared" si="16"/>
        <v>5.7479289010904985E-3</v>
      </c>
      <c r="BC29">
        <f t="shared" si="16"/>
        <v>5.686743345561282E-3</v>
      </c>
      <c r="BD29">
        <f t="shared" si="16"/>
        <v>5.6286677431950528E-3</v>
      </c>
      <c r="BE29">
        <f t="shared" si="16"/>
        <v>5.5737020939918176E-3</v>
      </c>
      <c r="BF29">
        <f t="shared" si="16"/>
        <v>5.5218463979515757E-3</v>
      </c>
      <c r="BG29">
        <f t="shared" si="16"/>
        <v>5.4731006550743219E-3</v>
      </c>
      <c r="BH29">
        <f t="shared" si="15"/>
        <v>5.4274648653600552E-3</v>
      </c>
      <c r="BI29">
        <f t="shared" si="15"/>
        <v>5.3849390288087818E-3</v>
      </c>
      <c r="BJ29">
        <f t="shared" si="15"/>
        <v>5.3455231454205034E-3</v>
      </c>
      <c r="BK29">
        <f t="shared" si="15"/>
        <v>5.309217215195219E-3</v>
      </c>
      <c r="BL29">
        <f t="shared" si="15"/>
        <v>5.2760212381329219E-3</v>
      </c>
      <c r="BM29">
        <f t="shared" si="15"/>
        <v>5.2459352142336189E-3</v>
      </c>
      <c r="BN29">
        <f t="shared" si="15"/>
        <v>5.2189591434973022E-3</v>
      </c>
      <c r="BO29">
        <f t="shared" si="13"/>
        <v>5.1950930259239804E-3</v>
      </c>
      <c r="BP29">
        <f t="shared" si="13"/>
        <v>5.1743368615136528E-3</v>
      </c>
      <c r="BQ29">
        <f t="shared" si="13"/>
        <v>5.1566906502663124E-3</v>
      </c>
      <c r="BR29">
        <f t="shared" si="13"/>
        <v>5.1421543921819591E-3</v>
      </c>
      <c r="BS29">
        <f t="shared" si="13"/>
        <v>5.1307280872606061E-3</v>
      </c>
      <c r="BT29">
        <f t="shared" si="13"/>
        <v>5.122411735502241E-3</v>
      </c>
      <c r="BU29">
        <f t="shared" si="13"/>
        <v>5.1172053369068632E-3</v>
      </c>
      <c r="BV29">
        <f t="shared" si="13"/>
        <v>5.1151088914744795E-3</v>
      </c>
      <c r="BW29">
        <f t="shared" si="13"/>
        <v>5.1161223992050968E-3</v>
      </c>
      <c r="BX29">
        <f t="shared" si="13"/>
        <v>5.1202458600986935E-3</v>
      </c>
      <c r="BY29">
        <f t="shared" si="13"/>
        <v>5.1274792741552843E-3</v>
      </c>
      <c r="BZ29">
        <f t="shared" si="13"/>
        <v>5.1378226413748632E-3</v>
      </c>
      <c r="CA29">
        <f t="shared" si="13"/>
        <v>5.1512759617574431E-3</v>
      </c>
      <c r="CB29">
        <f t="shared" si="13"/>
        <v>5.1678392353030032E-3</v>
      </c>
      <c r="CC29">
        <f t="shared" si="13"/>
        <v>5.1875124620115644E-3</v>
      </c>
      <c r="CD29">
        <f t="shared" si="13"/>
        <v>5.2102956418831059E-3</v>
      </c>
      <c r="CE29">
        <f t="shared" si="10"/>
        <v>5.2361887749176553E-3</v>
      </c>
      <c r="CF29">
        <f t="shared" si="7"/>
        <v>5.265191861115185E-3</v>
      </c>
      <c r="CG29">
        <f t="shared" si="11"/>
        <v>5.297304900475701E-3</v>
      </c>
      <c r="CH29">
        <f t="shared" si="11"/>
        <v>5.3325278929992181E-3</v>
      </c>
      <c r="CI29">
        <f t="shared" si="11"/>
        <v>5.3708608386857232E-3</v>
      </c>
      <c r="CJ29">
        <f t="shared" si="11"/>
        <v>5.4123037375352224E-3</v>
      </c>
      <c r="CK29">
        <f t="shared" si="11"/>
        <v>5.4568565895477088E-3</v>
      </c>
      <c r="CL29">
        <f t="shared" si="11"/>
        <v>5.5045193947231893E-3</v>
      </c>
      <c r="CM29">
        <f t="shared" si="11"/>
        <v>5.555292153061657E-3</v>
      </c>
      <c r="CN29">
        <f t="shared" si="11"/>
        <v>5.6091748645631188E-3</v>
      </c>
      <c r="CO29">
        <f t="shared" si="11"/>
        <v>5.6661675292275747E-3</v>
      </c>
      <c r="CP29">
        <f t="shared" si="11"/>
        <v>5.7262701470550108E-3</v>
      </c>
      <c r="CQ29">
        <f t="shared" si="11"/>
        <v>5.7894827180454541E-3</v>
      </c>
      <c r="CR29">
        <f t="shared" si="11"/>
        <v>5.8558052421988777E-3</v>
      </c>
      <c r="CS29">
        <f t="shared" si="11"/>
        <v>5.9252377195152962E-3</v>
      </c>
      <c r="CT29">
        <f t="shared" si="11"/>
        <v>5.9977801499947088E-3</v>
      </c>
      <c r="CU29">
        <f t="shared" si="11"/>
        <v>6.0734325336371155E-3</v>
      </c>
      <c r="CV29">
        <f t="shared" si="11"/>
        <v>6.1521948704425025E-3</v>
      </c>
    </row>
    <row r="30" spans="1:100" x14ac:dyDescent="0.2">
      <c r="A30">
        <v>0.81111109999999997</v>
      </c>
      <c r="B30">
        <f t="shared" si="0"/>
        <v>0.65790121654320999</v>
      </c>
      <c r="C30">
        <v>35</v>
      </c>
      <c r="D30">
        <f t="shared" si="1"/>
        <v>1225</v>
      </c>
      <c r="E30">
        <f t="shared" si="2"/>
        <v>28.3888885</v>
      </c>
      <c r="F30">
        <v>5.0370399999999996E-3</v>
      </c>
      <c r="S30">
        <v>32.700000000000003</v>
      </c>
      <c r="T30">
        <f t="shared" si="14"/>
        <v>9.6587990023206845E-3</v>
      </c>
      <c r="U30">
        <f t="shared" si="14"/>
        <v>9.4917798086670245E-3</v>
      </c>
      <c r="V30">
        <f t="shared" si="14"/>
        <v>9.3278705681763587E-3</v>
      </c>
      <c r="W30">
        <f t="shared" si="14"/>
        <v>9.1670712808486886E-3</v>
      </c>
      <c r="X30">
        <f t="shared" si="14"/>
        <v>9.009381946684011E-3</v>
      </c>
      <c r="Y30">
        <f t="shared" si="14"/>
        <v>8.8548025656823137E-3</v>
      </c>
      <c r="Z30">
        <f t="shared" si="14"/>
        <v>8.7033331378436104E-3</v>
      </c>
      <c r="AA30">
        <f t="shared" si="14"/>
        <v>8.5549736631678874E-3</v>
      </c>
      <c r="AB30">
        <f t="shared" si="14"/>
        <v>8.4097241416551741E-3</v>
      </c>
      <c r="AC30">
        <f t="shared" si="14"/>
        <v>8.2675845733054532E-3</v>
      </c>
      <c r="AD30">
        <f t="shared" si="14"/>
        <v>8.1285549581187125E-3</v>
      </c>
      <c r="AE30">
        <f t="shared" si="14"/>
        <v>7.9926352960949659E-3</v>
      </c>
      <c r="AF30">
        <f t="shared" si="14"/>
        <v>7.8598255872342135E-3</v>
      </c>
      <c r="AG30">
        <f t="shared" si="14"/>
        <v>7.730125831536456E-3</v>
      </c>
      <c r="AH30">
        <f t="shared" si="14"/>
        <v>7.6035360290016788E-3</v>
      </c>
      <c r="AI30">
        <f t="shared" si="14"/>
        <v>7.4800561796299018E-3</v>
      </c>
      <c r="AJ30">
        <f t="shared" si="12"/>
        <v>7.3596862834211119E-3</v>
      </c>
      <c r="AK30">
        <f t="shared" si="12"/>
        <v>7.2424263403753101E-3</v>
      </c>
      <c r="AL30">
        <f t="shared" si="12"/>
        <v>7.1282763504925085E-3</v>
      </c>
      <c r="AM30">
        <f t="shared" si="12"/>
        <v>7.0172363137726949E-3</v>
      </c>
      <c r="AN30">
        <f t="shared" si="12"/>
        <v>6.9093062302158677E-3</v>
      </c>
      <c r="AO30">
        <f t="shared" si="12"/>
        <v>6.8044860998220423E-3</v>
      </c>
      <c r="AP30">
        <f t="shared" si="12"/>
        <v>6.7027759225912033E-3</v>
      </c>
      <c r="AQ30">
        <f t="shared" si="12"/>
        <v>6.6041756985233515E-3</v>
      </c>
      <c r="AR30">
        <f t="shared" si="16"/>
        <v>6.5086854276184946E-3</v>
      </c>
      <c r="AS30">
        <f t="shared" si="16"/>
        <v>6.416305109876624E-3</v>
      </c>
      <c r="AT30">
        <f t="shared" si="16"/>
        <v>6.3270347452977554E-3</v>
      </c>
      <c r="AU30">
        <f t="shared" si="16"/>
        <v>6.2408743338818731E-3</v>
      </c>
      <c r="AV30">
        <f t="shared" si="16"/>
        <v>6.1578238756289779E-3</v>
      </c>
      <c r="AW30">
        <f t="shared" si="16"/>
        <v>6.0778833705390778E-3</v>
      </c>
      <c r="AX30">
        <f t="shared" si="16"/>
        <v>6.0010528186121709E-3</v>
      </c>
      <c r="AY30">
        <f t="shared" si="16"/>
        <v>5.927332219848252E-3</v>
      </c>
      <c r="AZ30">
        <f t="shared" si="16"/>
        <v>5.8567215742473264E-3</v>
      </c>
      <c r="BA30">
        <f t="shared" si="16"/>
        <v>5.789220881809388E-3</v>
      </c>
      <c r="BB30">
        <f t="shared" si="16"/>
        <v>5.7248301425344445E-3</v>
      </c>
      <c r="BC30">
        <f t="shared" si="16"/>
        <v>5.6635493564224943E-3</v>
      </c>
      <c r="BD30">
        <f t="shared" si="16"/>
        <v>5.6053785234735313E-3</v>
      </c>
      <c r="BE30">
        <f t="shared" si="16"/>
        <v>5.5503176436875632E-3</v>
      </c>
      <c r="BF30">
        <f t="shared" si="16"/>
        <v>5.4983667170645893E-3</v>
      </c>
      <c r="BG30">
        <f t="shared" si="16"/>
        <v>5.4495257436046017E-3</v>
      </c>
      <c r="BH30">
        <f t="shared" si="15"/>
        <v>5.4037947233076013E-3</v>
      </c>
      <c r="BI30">
        <f t="shared" si="15"/>
        <v>5.3611736561735958E-3</v>
      </c>
      <c r="BJ30">
        <f t="shared" si="15"/>
        <v>5.3216625422025836E-3</v>
      </c>
      <c r="BK30">
        <f t="shared" si="15"/>
        <v>5.2852613813945664E-3</v>
      </c>
      <c r="BL30">
        <f t="shared" si="15"/>
        <v>5.2519701737495355E-3</v>
      </c>
      <c r="BM30">
        <f t="shared" si="15"/>
        <v>5.2217889192674987E-3</v>
      </c>
      <c r="BN30">
        <f t="shared" si="15"/>
        <v>5.1947176179484491E-3</v>
      </c>
      <c r="BO30">
        <f t="shared" si="13"/>
        <v>5.1707562697923945E-3</v>
      </c>
      <c r="BP30">
        <f t="shared" si="13"/>
        <v>5.149904874799334E-3</v>
      </c>
      <c r="BQ30">
        <f t="shared" si="13"/>
        <v>5.1321634329692598E-3</v>
      </c>
      <c r="BR30">
        <f t="shared" si="13"/>
        <v>5.1175319443021727E-3</v>
      </c>
      <c r="BS30">
        <f t="shared" si="13"/>
        <v>5.1060104087980876E-3</v>
      </c>
      <c r="BT30">
        <f t="shared" si="13"/>
        <v>5.0975988264569888E-3</v>
      </c>
      <c r="BU30">
        <f t="shared" si="13"/>
        <v>5.0922971972788781E-3</v>
      </c>
      <c r="BV30">
        <f t="shared" si="13"/>
        <v>5.0901055212637606E-3</v>
      </c>
      <c r="BW30">
        <f t="shared" si="13"/>
        <v>5.0910237984116442E-3</v>
      </c>
      <c r="BX30">
        <f t="shared" si="13"/>
        <v>5.095052028722508E-3</v>
      </c>
      <c r="BY30">
        <f t="shared" si="13"/>
        <v>5.1021902121963668E-3</v>
      </c>
      <c r="BZ30">
        <f t="shared" si="13"/>
        <v>5.1124383488332118E-3</v>
      </c>
      <c r="CA30">
        <f t="shared" si="13"/>
        <v>5.1257964386330589E-3</v>
      </c>
      <c r="CB30">
        <f t="shared" si="13"/>
        <v>5.1422644815958853E-3</v>
      </c>
      <c r="CC30">
        <f t="shared" si="13"/>
        <v>5.1618424777217136E-3</v>
      </c>
      <c r="CD30">
        <f t="shared" si="13"/>
        <v>5.1845304270105221E-3</v>
      </c>
      <c r="CE30">
        <f t="shared" si="10"/>
        <v>5.2103283294623378E-3</v>
      </c>
      <c r="CF30">
        <f t="shared" si="7"/>
        <v>5.2392361850771337E-3</v>
      </c>
      <c r="CG30">
        <f t="shared" si="11"/>
        <v>5.2712539938549168E-3</v>
      </c>
      <c r="CH30">
        <f t="shared" si="11"/>
        <v>5.306381755795701E-3</v>
      </c>
      <c r="CI30">
        <f t="shared" si="11"/>
        <v>5.3446194708994732E-3</v>
      </c>
      <c r="CJ30">
        <f t="shared" si="11"/>
        <v>5.3859671391662395E-3</v>
      </c>
      <c r="CK30">
        <f t="shared" si="11"/>
        <v>5.4304247605959921E-3</v>
      </c>
      <c r="CL30">
        <f t="shared" si="11"/>
        <v>5.4779923351887388E-3</v>
      </c>
      <c r="CM30">
        <f t="shared" si="11"/>
        <v>5.5286698629444728E-3</v>
      </c>
      <c r="CN30">
        <f t="shared" si="11"/>
        <v>5.5824573438632025E-3</v>
      </c>
      <c r="CO30">
        <f t="shared" si="11"/>
        <v>5.6393547779449247E-3</v>
      </c>
      <c r="CP30">
        <f t="shared" si="11"/>
        <v>5.6993621651896271E-3</v>
      </c>
      <c r="CQ30">
        <f t="shared" si="11"/>
        <v>5.7624795055973375E-3</v>
      </c>
      <c r="CR30">
        <f t="shared" si="11"/>
        <v>5.8287067991680281E-3</v>
      </c>
      <c r="CS30">
        <f t="shared" si="11"/>
        <v>5.8980440459017137E-3</v>
      </c>
      <c r="CT30">
        <f t="shared" si="11"/>
        <v>5.9704912457983934E-3</v>
      </c>
      <c r="CU30">
        <f t="shared" si="11"/>
        <v>6.0460483988580664E-3</v>
      </c>
      <c r="CV30">
        <f t="shared" si="11"/>
        <v>6.1247155050807196E-3</v>
      </c>
    </row>
    <row r="31" spans="1:100" x14ac:dyDescent="0.2">
      <c r="A31">
        <v>0.9</v>
      </c>
      <c r="B31">
        <f t="shared" si="0"/>
        <v>0.81</v>
      </c>
      <c r="C31">
        <v>35</v>
      </c>
      <c r="D31">
        <f t="shared" si="1"/>
        <v>1225</v>
      </c>
      <c r="E31">
        <f t="shared" si="2"/>
        <v>31.5</v>
      </c>
      <c r="F31">
        <v>5.0666699999999997E-3</v>
      </c>
      <c r="S31">
        <v>32.799999999999997</v>
      </c>
      <c r="T31">
        <f t="shared" si="14"/>
        <v>9.6398385373043707E-3</v>
      </c>
      <c r="U31">
        <f t="shared" si="14"/>
        <v>9.4727241130679787E-3</v>
      </c>
      <c r="V31">
        <f t="shared" si="14"/>
        <v>9.308719641994579E-3</v>
      </c>
      <c r="W31">
        <f t="shared" si="14"/>
        <v>9.1478251240841753E-3</v>
      </c>
      <c r="X31">
        <f t="shared" si="14"/>
        <v>8.9900405593367639E-3</v>
      </c>
      <c r="Y31">
        <f t="shared" si="14"/>
        <v>8.8353659477523345E-3</v>
      </c>
      <c r="Z31">
        <f t="shared" si="14"/>
        <v>8.6838012893308975E-3</v>
      </c>
      <c r="AA31">
        <f t="shared" si="14"/>
        <v>8.5353465840724424E-3</v>
      </c>
      <c r="AB31">
        <f t="shared" si="14"/>
        <v>8.3900018319769936E-3</v>
      </c>
      <c r="AC31">
        <f t="shared" si="14"/>
        <v>8.2477670330445407E-3</v>
      </c>
      <c r="AD31">
        <f t="shared" si="14"/>
        <v>8.1086421872750662E-3</v>
      </c>
      <c r="AE31">
        <f t="shared" si="14"/>
        <v>7.9726272946685876E-3</v>
      </c>
      <c r="AF31">
        <f t="shared" si="14"/>
        <v>7.8397223552251014E-3</v>
      </c>
      <c r="AG31">
        <f t="shared" si="14"/>
        <v>7.7099273689446111E-3</v>
      </c>
      <c r="AH31">
        <f t="shared" si="14"/>
        <v>7.5832423358271001E-3</v>
      </c>
      <c r="AI31">
        <f t="shared" si="14"/>
        <v>7.4596672558725902E-3</v>
      </c>
      <c r="AJ31">
        <f t="shared" si="12"/>
        <v>7.3392021290810674E-3</v>
      </c>
      <c r="AK31">
        <f t="shared" si="12"/>
        <v>7.2218469554525318E-3</v>
      </c>
      <c r="AL31">
        <f t="shared" si="12"/>
        <v>7.1076017349869973E-3</v>
      </c>
      <c r="AM31">
        <f t="shared" si="12"/>
        <v>6.99646646768445E-3</v>
      </c>
      <c r="AN31">
        <f t="shared" si="12"/>
        <v>6.8884411535448898E-3</v>
      </c>
      <c r="AO31">
        <f t="shared" si="12"/>
        <v>6.7835257925683307E-3</v>
      </c>
      <c r="AP31">
        <f t="shared" si="12"/>
        <v>6.6817203847547588E-3</v>
      </c>
      <c r="AQ31">
        <f t="shared" si="12"/>
        <v>6.5830249301041741E-3</v>
      </c>
      <c r="AR31">
        <f t="shared" si="16"/>
        <v>6.4874394286165834E-3</v>
      </c>
      <c r="AS31">
        <f t="shared" si="16"/>
        <v>6.39496388029198E-3</v>
      </c>
      <c r="AT31">
        <f t="shared" si="16"/>
        <v>6.3055982851303784E-3</v>
      </c>
      <c r="AU31">
        <f t="shared" si="16"/>
        <v>6.2193426431317632E-3</v>
      </c>
      <c r="AV31">
        <f t="shared" si="16"/>
        <v>6.1361969542961352E-3</v>
      </c>
      <c r="AW31">
        <f t="shared" si="16"/>
        <v>6.0561612186235004E-3</v>
      </c>
      <c r="AX31">
        <f t="shared" si="16"/>
        <v>5.9792354361138614E-3</v>
      </c>
      <c r="AY31">
        <f t="shared" si="16"/>
        <v>5.9054196067672088E-3</v>
      </c>
      <c r="AZ31">
        <f t="shared" si="16"/>
        <v>5.8347137305835503E-3</v>
      </c>
      <c r="BA31">
        <f t="shared" si="16"/>
        <v>5.767117807562879E-3</v>
      </c>
      <c r="BB31">
        <f t="shared" si="16"/>
        <v>5.7026318377052018E-3</v>
      </c>
      <c r="BC31">
        <f t="shared" si="16"/>
        <v>5.6412558210105187E-3</v>
      </c>
      <c r="BD31">
        <f t="shared" si="16"/>
        <v>5.5829897574788227E-3</v>
      </c>
      <c r="BE31">
        <f t="shared" si="16"/>
        <v>5.5278336471101209E-3</v>
      </c>
      <c r="BF31">
        <f t="shared" si="16"/>
        <v>5.4757874899044132E-3</v>
      </c>
      <c r="BG31">
        <f t="shared" si="16"/>
        <v>5.4268512858616927E-3</v>
      </c>
      <c r="BH31">
        <f t="shared" si="15"/>
        <v>5.3810250349819594E-3</v>
      </c>
      <c r="BI31">
        <f t="shared" si="15"/>
        <v>5.3383087372652202E-3</v>
      </c>
      <c r="BJ31">
        <f t="shared" si="15"/>
        <v>5.2987023927114751E-3</v>
      </c>
      <c r="BK31">
        <f t="shared" si="15"/>
        <v>5.2622060013207241E-3</v>
      </c>
      <c r="BL31">
        <f t="shared" si="15"/>
        <v>5.2288195630929603E-3</v>
      </c>
      <c r="BM31">
        <f t="shared" si="15"/>
        <v>5.1985430780281906E-3</v>
      </c>
      <c r="BN31">
        <f t="shared" si="15"/>
        <v>5.1713765461264081E-3</v>
      </c>
      <c r="BO31">
        <f t="shared" si="13"/>
        <v>5.1473199673876206E-3</v>
      </c>
      <c r="BP31">
        <f t="shared" si="13"/>
        <v>5.1263733418118254E-3</v>
      </c>
      <c r="BQ31">
        <f t="shared" si="13"/>
        <v>5.1085366693990192E-3</v>
      </c>
      <c r="BR31">
        <f t="shared" si="13"/>
        <v>5.0938099501491993E-3</v>
      </c>
      <c r="BS31">
        <f t="shared" si="13"/>
        <v>5.0821931840623804E-3</v>
      </c>
      <c r="BT31">
        <f t="shared" si="13"/>
        <v>5.0736863711385487E-3</v>
      </c>
      <c r="BU31">
        <f t="shared" si="13"/>
        <v>5.0682895113777042E-3</v>
      </c>
      <c r="BV31">
        <f t="shared" si="13"/>
        <v>5.0660026047798529E-3</v>
      </c>
      <c r="BW31">
        <f t="shared" si="13"/>
        <v>5.0668256513450045E-3</v>
      </c>
      <c r="BX31">
        <f t="shared" si="13"/>
        <v>5.0707586510731345E-3</v>
      </c>
      <c r="BY31">
        <f t="shared" si="13"/>
        <v>5.0778016039642604E-3</v>
      </c>
      <c r="BZ31">
        <f t="shared" si="13"/>
        <v>5.0879545100183717E-3</v>
      </c>
      <c r="CA31">
        <f t="shared" si="13"/>
        <v>5.1012173692354858E-3</v>
      </c>
      <c r="CB31">
        <f t="shared" si="13"/>
        <v>5.1175901816155793E-3</v>
      </c>
      <c r="CC31">
        <f t="shared" si="13"/>
        <v>5.1370729471586739E-3</v>
      </c>
      <c r="CD31">
        <f t="shared" si="13"/>
        <v>5.1596656658647495E-3</v>
      </c>
      <c r="CE31">
        <f t="shared" si="10"/>
        <v>5.1853683377338314E-3</v>
      </c>
      <c r="CF31">
        <f t="shared" si="7"/>
        <v>5.2141809627658953E-3</v>
      </c>
      <c r="CG31">
        <f t="shared" si="11"/>
        <v>5.2461035409609447E-3</v>
      </c>
      <c r="CH31">
        <f t="shared" si="11"/>
        <v>5.2811360723189959E-3</v>
      </c>
      <c r="CI31">
        <f t="shared" si="11"/>
        <v>5.3192785568400344E-3</v>
      </c>
      <c r="CJ31">
        <f t="shared" si="11"/>
        <v>5.3605309945240669E-3</v>
      </c>
      <c r="CK31">
        <f t="shared" si="11"/>
        <v>5.4048933853710866E-3</v>
      </c>
      <c r="CL31">
        <f t="shared" si="11"/>
        <v>5.4523657293811005E-3</v>
      </c>
      <c r="CM31">
        <f t="shared" si="11"/>
        <v>5.5029480265541015E-3</v>
      </c>
      <c r="CN31">
        <f t="shared" si="11"/>
        <v>5.5566402768900975E-3</v>
      </c>
      <c r="CO31">
        <f t="shared" si="11"/>
        <v>5.6134424803890868E-3</v>
      </c>
      <c r="CP31">
        <f t="shared" si="11"/>
        <v>5.6733546370510562E-3</v>
      </c>
      <c r="CQ31">
        <f t="shared" si="11"/>
        <v>5.7363767468760329E-3</v>
      </c>
      <c r="CR31">
        <f t="shared" si="11"/>
        <v>5.8025088098639915E-3</v>
      </c>
      <c r="CS31">
        <f t="shared" si="11"/>
        <v>5.8717508260149424E-3</v>
      </c>
      <c r="CT31">
        <f t="shared" si="11"/>
        <v>5.9441027953288893E-3</v>
      </c>
      <c r="CU31">
        <f t="shared" si="11"/>
        <v>6.0195647178058285E-3</v>
      </c>
      <c r="CV31">
        <f t="shared" si="11"/>
        <v>6.0981365934457497E-3</v>
      </c>
    </row>
    <row r="32" spans="1:100" x14ac:dyDescent="0.2">
      <c r="A32">
        <v>0.1</v>
      </c>
      <c r="B32">
        <f t="shared" si="0"/>
        <v>1.0000000000000002E-2</v>
      </c>
      <c r="C32">
        <v>35</v>
      </c>
      <c r="D32">
        <f t="shared" si="1"/>
        <v>1225</v>
      </c>
      <c r="E32">
        <f t="shared" si="2"/>
        <v>3.5</v>
      </c>
      <c r="F32">
        <v>1.01E-2</v>
      </c>
      <c r="S32">
        <v>32.9</v>
      </c>
      <c r="T32">
        <f t="shared" si="14"/>
        <v>9.621778526014875E-3</v>
      </c>
      <c r="U32">
        <f t="shared" si="14"/>
        <v>9.4545688711957492E-3</v>
      </c>
      <c r="V32">
        <f t="shared" si="14"/>
        <v>9.2904691695396176E-3</v>
      </c>
      <c r="W32">
        <f t="shared" si="14"/>
        <v>9.12947942104648E-3</v>
      </c>
      <c r="X32">
        <f t="shared" si="14"/>
        <v>8.9715996257163366E-3</v>
      </c>
      <c r="Y32">
        <f t="shared" si="14"/>
        <v>8.8168297835491734E-3</v>
      </c>
      <c r="Z32">
        <f t="shared" si="14"/>
        <v>8.6651698945450027E-3</v>
      </c>
      <c r="AA32">
        <f t="shared" si="14"/>
        <v>8.5166199587038138E-3</v>
      </c>
      <c r="AB32">
        <f t="shared" si="14"/>
        <v>8.371179976025633E-3</v>
      </c>
      <c r="AC32">
        <f t="shared" si="14"/>
        <v>8.2288499465104463E-3</v>
      </c>
      <c r="AD32">
        <f t="shared" si="14"/>
        <v>8.0896298701582398E-3</v>
      </c>
      <c r="AE32">
        <f t="shared" si="14"/>
        <v>7.9535197469690275E-3</v>
      </c>
      <c r="AF32">
        <f t="shared" si="14"/>
        <v>7.8205195769428075E-3</v>
      </c>
      <c r="AG32">
        <f t="shared" si="14"/>
        <v>7.6906293600795834E-3</v>
      </c>
      <c r="AH32">
        <f t="shared" si="14"/>
        <v>7.5638490963793395E-3</v>
      </c>
      <c r="AI32">
        <f t="shared" si="14"/>
        <v>7.4401787858420967E-3</v>
      </c>
      <c r="AJ32">
        <f t="shared" si="12"/>
        <v>7.319618428467841E-3</v>
      </c>
      <c r="AK32">
        <f t="shared" si="12"/>
        <v>7.2021680242565717E-3</v>
      </c>
      <c r="AL32">
        <f t="shared" si="12"/>
        <v>7.0878275732083043E-3</v>
      </c>
      <c r="AM32">
        <f t="shared" si="12"/>
        <v>6.9765970753230232E-3</v>
      </c>
      <c r="AN32">
        <f t="shared" si="12"/>
        <v>6.8684765306007301E-3</v>
      </c>
      <c r="AO32">
        <f t="shared" si="12"/>
        <v>6.7634659390414381E-3</v>
      </c>
      <c r="AP32">
        <f t="shared" si="12"/>
        <v>6.6615653006451333E-3</v>
      </c>
      <c r="AQ32">
        <f t="shared" si="12"/>
        <v>6.5627746154118148E-3</v>
      </c>
      <c r="AR32">
        <f t="shared" si="16"/>
        <v>6.4670938833414912E-3</v>
      </c>
      <c r="AS32">
        <f t="shared" si="16"/>
        <v>6.3745231044341549E-3</v>
      </c>
      <c r="AT32">
        <f t="shared" si="16"/>
        <v>6.2850622786898187E-3</v>
      </c>
      <c r="AU32">
        <f t="shared" si="16"/>
        <v>6.1987114061084706E-3</v>
      </c>
      <c r="AV32">
        <f t="shared" si="16"/>
        <v>6.1154704866901097E-3</v>
      </c>
      <c r="AW32">
        <f t="shared" si="16"/>
        <v>6.035339520434742E-3</v>
      </c>
      <c r="AX32">
        <f t="shared" si="16"/>
        <v>5.9583185073423693E-3</v>
      </c>
      <c r="AY32">
        <f t="shared" si="16"/>
        <v>5.8844074474129838E-3</v>
      </c>
      <c r="AZ32">
        <f t="shared" si="16"/>
        <v>5.8136063406465915E-3</v>
      </c>
      <c r="BA32">
        <f t="shared" si="16"/>
        <v>5.7459151870431872E-3</v>
      </c>
      <c r="BB32">
        <f t="shared" si="16"/>
        <v>5.6813339866027771E-3</v>
      </c>
      <c r="BC32">
        <f t="shared" si="16"/>
        <v>5.6198627393253603E-3</v>
      </c>
      <c r="BD32">
        <f t="shared" si="16"/>
        <v>5.5615014452109314E-3</v>
      </c>
      <c r="BE32">
        <f t="shared" si="16"/>
        <v>5.5062501042594959E-3</v>
      </c>
      <c r="BF32">
        <f t="shared" si="16"/>
        <v>5.4541087164710553E-3</v>
      </c>
      <c r="BG32">
        <f t="shared" si="16"/>
        <v>5.4050772818456019E-3</v>
      </c>
      <c r="BH32">
        <f t="shared" si="15"/>
        <v>5.3591558003831356E-3</v>
      </c>
      <c r="BI32">
        <f t="shared" si="15"/>
        <v>5.3163442720836626E-3</v>
      </c>
      <c r="BJ32">
        <f t="shared" si="15"/>
        <v>5.2766426969471847E-3</v>
      </c>
      <c r="BK32">
        <f t="shared" si="15"/>
        <v>5.2400510749737008E-3</v>
      </c>
      <c r="BL32">
        <f t="shared" si="15"/>
        <v>5.2065694061632032E-3</v>
      </c>
      <c r="BM32">
        <f t="shared" si="15"/>
        <v>5.1761976905157006E-3</v>
      </c>
      <c r="BN32">
        <f t="shared" si="15"/>
        <v>5.1489359280311852E-3</v>
      </c>
      <c r="BO32">
        <f t="shared" si="13"/>
        <v>5.1247841187096639E-3</v>
      </c>
      <c r="BP32">
        <f t="shared" si="13"/>
        <v>5.1037422625511359E-3</v>
      </c>
      <c r="BQ32">
        <f t="shared" si="13"/>
        <v>5.0858103595555959E-3</v>
      </c>
      <c r="BR32">
        <f t="shared" si="13"/>
        <v>5.0709884097230422E-3</v>
      </c>
      <c r="BS32">
        <f t="shared" si="13"/>
        <v>5.0592764130534904E-3</v>
      </c>
      <c r="BT32">
        <f t="shared" si="13"/>
        <v>5.0506743695469258E-3</v>
      </c>
      <c r="BU32">
        <f t="shared" si="13"/>
        <v>5.0451822792033476E-3</v>
      </c>
      <c r="BV32">
        <f t="shared" si="13"/>
        <v>5.0428001420227643E-3</v>
      </c>
      <c r="BW32">
        <f t="shared" si="13"/>
        <v>5.043527958005182E-3</v>
      </c>
      <c r="BX32">
        <f t="shared" si="13"/>
        <v>5.0473657271505792E-3</v>
      </c>
      <c r="BY32">
        <f t="shared" si="13"/>
        <v>5.0543134494589713E-3</v>
      </c>
      <c r="BZ32">
        <f t="shared" si="13"/>
        <v>5.0643711249303506E-3</v>
      </c>
      <c r="CA32">
        <f t="shared" si="13"/>
        <v>5.0775387535647309E-3</v>
      </c>
      <c r="CB32">
        <f t="shared" si="13"/>
        <v>5.0938163353620915E-3</v>
      </c>
      <c r="CC32">
        <f t="shared" si="13"/>
        <v>5.1132038703224523E-3</v>
      </c>
      <c r="CD32">
        <f t="shared" si="13"/>
        <v>5.1357013584457933E-3</v>
      </c>
      <c r="CE32">
        <f t="shared" si="10"/>
        <v>5.1613087997321432E-3</v>
      </c>
      <c r="CF32">
        <f t="shared" si="7"/>
        <v>5.1900261941814733E-3</v>
      </c>
      <c r="CG32">
        <f t="shared" si="11"/>
        <v>5.2218535417937898E-3</v>
      </c>
      <c r="CH32">
        <f t="shared" si="11"/>
        <v>5.2567908425691081E-3</v>
      </c>
      <c r="CI32">
        <f t="shared" si="11"/>
        <v>5.2948380965074128E-3</v>
      </c>
      <c r="CJ32">
        <f t="shared" si="11"/>
        <v>5.3359953036087125E-3</v>
      </c>
      <c r="CK32">
        <f t="shared" si="11"/>
        <v>5.3802624638729993E-3</v>
      </c>
      <c r="CL32">
        <f t="shared" si="11"/>
        <v>5.4276395773002802E-3</v>
      </c>
      <c r="CM32">
        <f t="shared" si="11"/>
        <v>5.4781266438905483E-3</v>
      </c>
      <c r="CN32">
        <f t="shared" si="11"/>
        <v>5.5317236636438106E-3</v>
      </c>
      <c r="CO32">
        <f t="shared" si="11"/>
        <v>5.5884306365600661E-3</v>
      </c>
      <c r="CP32">
        <f t="shared" si="11"/>
        <v>5.6482475626393027E-3</v>
      </c>
      <c r="CQ32">
        <f t="shared" si="11"/>
        <v>5.7111744418815464E-3</v>
      </c>
      <c r="CR32">
        <f t="shared" si="11"/>
        <v>5.7772112742867712E-3</v>
      </c>
      <c r="CS32">
        <f t="shared" si="11"/>
        <v>5.8463580598549902E-3</v>
      </c>
      <c r="CT32">
        <f t="shared" si="11"/>
        <v>5.9186147985862024E-3</v>
      </c>
      <c r="CU32">
        <f t="shared" si="11"/>
        <v>5.9939814904804087E-3</v>
      </c>
      <c r="CV32">
        <f t="shared" si="11"/>
        <v>6.0724581355375961E-3</v>
      </c>
    </row>
    <row r="33" spans="1:100" x14ac:dyDescent="0.2">
      <c r="A33">
        <v>0.1888889</v>
      </c>
      <c r="B33">
        <f t="shared" si="0"/>
        <v>3.5679016543209999E-2</v>
      </c>
      <c r="C33">
        <v>37.5</v>
      </c>
      <c r="D33">
        <f t="shared" si="1"/>
        <v>1406.25</v>
      </c>
      <c r="E33">
        <f t="shared" si="2"/>
        <v>7.0833337499999995</v>
      </c>
      <c r="F33">
        <v>7.7592599999999996E-3</v>
      </c>
      <c r="S33">
        <v>33</v>
      </c>
      <c r="T33">
        <f t="shared" si="14"/>
        <v>9.6046189684521992E-3</v>
      </c>
      <c r="U33">
        <f t="shared" si="14"/>
        <v>9.4373140830503396E-3</v>
      </c>
      <c r="V33">
        <f t="shared" si="14"/>
        <v>9.2731191508114742E-3</v>
      </c>
      <c r="W33">
        <f t="shared" si="14"/>
        <v>9.1120341717356029E-3</v>
      </c>
      <c r="X33">
        <f t="shared" si="14"/>
        <v>8.9540591458227257E-3</v>
      </c>
      <c r="Y33">
        <f t="shared" si="14"/>
        <v>8.7991940730728288E-3</v>
      </c>
      <c r="Z33">
        <f t="shared" si="14"/>
        <v>8.647438953485926E-3</v>
      </c>
      <c r="AA33">
        <f t="shared" si="14"/>
        <v>8.4987937870620034E-3</v>
      </c>
      <c r="AB33">
        <f t="shared" si="14"/>
        <v>8.3532585738010905E-3</v>
      </c>
      <c r="AC33">
        <f t="shared" si="14"/>
        <v>8.2108333137031701E-3</v>
      </c>
      <c r="AD33">
        <f t="shared" si="14"/>
        <v>8.0715180067682298E-3</v>
      </c>
      <c r="AE33">
        <f t="shared" si="14"/>
        <v>7.9353126529962837E-3</v>
      </c>
      <c r="AF33">
        <f t="shared" si="14"/>
        <v>7.8022172523873326E-3</v>
      </c>
      <c r="AG33">
        <f t="shared" si="14"/>
        <v>7.6722318049413747E-3</v>
      </c>
      <c r="AH33">
        <f t="shared" si="14"/>
        <v>7.545356310658397E-3</v>
      </c>
      <c r="AI33">
        <f t="shared" si="14"/>
        <v>7.4215907695384213E-3</v>
      </c>
      <c r="AJ33">
        <f t="shared" si="12"/>
        <v>7.3009351815814319E-3</v>
      </c>
      <c r="AK33">
        <f t="shared" si="12"/>
        <v>7.1833895467874297E-3</v>
      </c>
      <c r="AL33">
        <f t="shared" si="12"/>
        <v>7.0689538651564285E-3</v>
      </c>
      <c r="AM33">
        <f t="shared" si="12"/>
        <v>6.9576281366884154E-3</v>
      </c>
      <c r="AN33">
        <f t="shared" si="12"/>
        <v>6.8494123613833885E-3</v>
      </c>
      <c r="AO33">
        <f t="shared" si="12"/>
        <v>6.7443065392413628E-3</v>
      </c>
      <c r="AP33">
        <f t="shared" si="12"/>
        <v>6.642310670262325E-3</v>
      </c>
      <c r="AQ33">
        <f t="shared" si="12"/>
        <v>6.5434247544462736E-3</v>
      </c>
      <c r="AR33">
        <f t="shared" si="16"/>
        <v>6.4476487917932163E-3</v>
      </c>
      <c r="AS33">
        <f t="shared" si="16"/>
        <v>6.3549827823031471E-3</v>
      </c>
      <c r="AT33">
        <f t="shared" si="16"/>
        <v>6.265426725976078E-3</v>
      </c>
      <c r="AU33">
        <f t="shared" si="16"/>
        <v>6.1789806228119961E-3</v>
      </c>
      <c r="AV33">
        <f t="shared" si="16"/>
        <v>6.0956444728109014E-3</v>
      </c>
      <c r="AW33">
        <f t="shared" si="16"/>
        <v>6.0154182759728017E-3</v>
      </c>
      <c r="AX33">
        <f t="shared" si="16"/>
        <v>5.9383020322976952E-3</v>
      </c>
      <c r="AY33">
        <f t="shared" si="16"/>
        <v>5.8642957417855759E-3</v>
      </c>
      <c r="AZ33">
        <f t="shared" si="16"/>
        <v>5.7933994044364516E-3</v>
      </c>
      <c r="BA33">
        <f t="shared" si="16"/>
        <v>5.7256130202503136E-3</v>
      </c>
      <c r="BB33">
        <f t="shared" si="16"/>
        <v>5.6609365892271698E-3</v>
      </c>
      <c r="BC33">
        <f t="shared" si="16"/>
        <v>5.5993701113670209E-3</v>
      </c>
      <c r="BD33">
        <f t="shared" si="16"/>
        <v>5.5409135866698583E-3</v>
      </c>
      <c r="BE33">
        <f t="shared" si="16"/>
        <v>5.4855670151356898E-3</v>
      </c>
      <c r="BF33">
        <f t="shared" si="16"/>
        <v>5.4333303967645154E-3</v>
      </c>
      <c r="BG33">
        <f t="shared" si="16"/>
        <v>5.3842037315563291E-3</v>
      </c>
      <c r="BH33">
        <f t="shared" si="15"/>
        <v>5.3381870195111291E-3</v>
      </c>
      <c r="BI33">
        <f t="shared" si="15"/>
        <v>5.2952802606289241E-3</v>
      </c>
      <c r="BJ33">
        <f t="shared" si="15"/>
        <v>5.2554834549097124E-3</v>
      </c>
      <c r="BK33">
        <f t="shared" si="15"/>
        <v>5.2187966023534947E-3</v>
      </c>
      <c r="BL33">
        <f t="shared" si="15"/>
        <v>5.1852197029602642E-3</v>
      </c>
      <c r="BM33">
        <f t="shared" si="15"/>
        <v>5.1547527567300279E-3</v>
      </c>
      <c r="BN33">
        <f t="shared" si="15"/>
        <v>5.1273957636627796E-3</v>
      </c>
      <c r="BO33">
        <f t="shared" si="13"/>
        <v>5.1031487237585245E-3</v>
      </c>
      <c r="BP33">
        <f t="shared" si="13"/>
        <v>5.0820116370172645E-3</v>
      </c>
      <c r="BQ33">
        <f t="shared" si="13"/>
        <v>5.0639845034389907E-3</v>
      </c>
      <c r="BR33">
        <f t="shared" si="13"/>
        <v>5.0490673230237041E-3</v>
      </c>
      <c r="BS33">
        <f t="shared" si="13"/>
        <v>5.0372600957714186E-3</v>
      </c>
      <c r="BT33">
        <f t="shared" si="13"/>
        <v>5.0285628216821211E-3</v>
      </c>
      <c r="BU33">
        <f t="shared" si="13"/>
        <v>5.0229755007558099E-3</v>
      </c>
      <c r="BV33">
        <f t="shared" si="13"/>
        <v>5.0204981329924929E-3</v>
      </c>
      <c r="BW33">
        <f t="shared" si="13"/>
        <v>5.0211307183921777E-3</v>
      </c>
      <c r="BX33">
        <f t="shared" si="13"/>
        <v>5.024873256954842E-3</v>
      </c>
      <c r="BY33">
        <f t="shared" si="13"/>
        <v>5.0317257486805003E-3</v>
      </c>
      <c r="BZ33">
        <f t="shared" si="13"/>
        <v>5.0416881935691459E-3</v>
      </c>
      <c r="CA33">
        <f t="shared" si="13"/>
        <v>5.0547605916207933E-3</v>
      </c>
      <c r="CB33">
        <f t="shared" si="13"/>
        <v>5.070942942835421E-3</v>
      </c>
      <c r="CC33">
        <f t="shared" si="13"/>
        <v>5.0902352472130489E-3</v>
      </c>
      <c r="CD33">
        <f t="shared" si="13"/>
        <v>5.112637504753657E-3</v>
      </c>
      <c r="CE33">
        <f t="shared" si="10"/>
        <v>5.1381497154572731E-3</v>
      </c>
      <c r="CF33">
        <f t="shared" si="7"/>
        <v>5.1667718793238695E-3</v>
      </c>
      <c r="CG33">
        <f t="shared" si="11"/>
        <v>5.198503996353453E-3</v>
      </c>
      <c r="CH33">
        <f t="shared" si="11"/>
        <v>5.2333460665460376E-3</v>
      </c>
      <c r="CI33">
        <f t="shared" si="11"/>
        <v>5.2712980899016102E-3</v>
      </c>
      <c r="CJ33">
        <f t="shared" si="11"/>
        <v>5.312360066420177E-3</v>
      </c>
      <c r="CK33">
        <f t="shared" si="11"/>
        <v>5.3565319961017301E-3</v>
      </c>
      <c r="CL33">
        <f t="shared" si="11"/>
        <v>5.4038138789462772E-3</v>
      </c>
      <c r="CM33">
        <f t="shared" si="11"/>
        <v>5.4542057149538116E-3</v>
      </c>
      <c r="CN33">
        <f t="shared" si="11"/>
        <v>5.5077075041243409E-3</v>
      </c>
      <c r="CO33">
        <f t="shared" si="11"/>
        <v>5.5643192464578644E-3</v>
      </c>
      <c r="CP33">
        <f t="shared" si="11"/>
        <v>5.6240409419543672E-3</v>
      </c>
      <c r="CQ33">
        <f t="shared" si="11"/>
        <v>5.6868725906138781E-3</v>
      </c>
      <c r="CR33">
        <f t="shared" si="11"/>
        <v>5.7528141924363691E-3</v>
      </c>
      <c r="CS33">
        <f t="shared" si="11"/>
        <v>5.8218657474218543E-3</v>
      </c>
      <c r="CT33">
        <f t="shared" si="11"/>
        <v>5.8940272555703336E-3</v>
      </c>
      <c r="CU33">
        <f t="shared" si="11"/>
        <v>5.9692987168818079E-3</v>
      </c>
      <c r="CV33">
        <f t="shared" si="11"/>
        <v>6.0476801313562615E-3</v>
      </c>
    </row>
    <row r="34" spans="1:100" x14ac:dyDescent="0.2">
      <c r="A34">
        <v>0.27777780000000002</v>
      </c>
      <c r="B34">
        <f t="shared" si="0"/>
        <v>7.716050617284001E-2</v>
      </c>
      <c r="C34">
        <v>37.5</v>
      </c>
      <c r="D34">
        <f t="shared" si="1"/>
        <v>1406.25</v>
      </c>
      <c r="E34">
        <f t="shared" si="2"/>
        <v>10.416667500000001</v>
      </c>
      <c r="F34">
        <v>6.6370400000000003E-3</v>
      </c>
      <c r="S34">
        <v>33.1</v>
      </c>
      <c r="T34">
        <f t="shared" si="14"/>
        <v>9.5883598646163328E-3</v>
      </c>
      <c r="U34">
        <f t="shared" si="14"/>
        <v>9.4209597486317395E-3</v>
      </c>
      <c r="V34">
        <f t="shared" si="14"/>
        <v>9.2566695858101421E-3</v>
      </c>
      <c r="W34">
        <f t="shared" si="14"/>
        <v>9.095489376151537E-3</v>
      </c>
      <c r="X34">
        <f t="shared" si="14"/>
        <v>8.9374191196559261E-3</v>
      </c>
      <c r="Y34">
        <f t="shared" si="14"/>
        <v>8.7824588163232971E-3</v>
      </c>
      <c r="Z34">
        <f t="shared" si="14"/>
        <v>8.6306084661536605E-3</v>
      </c>
      <c r="AA34">
        <f t="shared" si="14"/>
        <v>8.4818680691470059E-3</v>
      </c>
      <c r="AB34">
        <f t="shared" si="14"/>
        <v>8.3362376253033575E-3</v>
      </c>
      <c r="AC34">
        <f t="shared" si="14"/>
        <v>8.193717134622705E-3</v>
      </c>
      <c r="AD34">
        <f t="shared" si="14"/>
        <v>8.054306597105031E-3</v>
      </c>
      <c r="AE34">
        <f t="shared" si="14"/>
        <v>7.9180060127503529E-3</v>
      </c>
      <c r="AF34">
        <f t="shared" si="14"/>
        <v>7.7848153815586671E-3</v>
      </c>
      <c r="AG34">
        <f t="shared" si="14"/>
        <v>7.6547347035299763E-3</v>
      </c>
      <c r="AH34">
        <f t="shared" si="14"/>
        <v>7.5277639786642658E-3</v>
      </c>
      <c r="AI34">
        <f t="shared" si="14"/>
        <v>7.4039032069615563E-3</v>
      </c>
      <c r="AJ34">
        <f t="shared" si="12"/>
        <v>7.283152388421834E-3</v>
      </c>
      <c r="AK34">
        <f t="shared" si="12"/>
        <v>7.1655115230450988E-3</v>
      </c>
      <c r="AL34">
        <f t="shared" si="12"/>
        <v>7.0509806108313648E-3</v>
      </c>
      <c r="AM34">
        <f t="shared" si="12"/>
        <v>6.9395596517806179E-3</v>
      </c>
      <c r="AN34">
        <f t="shared" si="12"/>
        <v>6.8312486458928581E-3</v>
      </c>
      <c r="AO34">
        <f t="shared" si="12"/>
        <v>6.7260475931680995E-3</v>
      </c>
      <c r="AP34">
        <f t="shared" si="12"/>
        <v>6.623956493606328E-3</v>
      </c>
      <c r="AQ34">
        <f t="shared" si="12"/>
        <v>6.5249753472075428E-3</v>
      </c>
      <c r="AR34">
        <f t="shared" si="16"/>
        <v>6.4291041539717535E-3</v>
      </c>
      <c r="AS34">
        <f t="shared" si="16"/>
        <v>6.3363429138989505E-3</v>
      </c>
      <c r="AT34">
        <f t="shared" si="16"/>
        <v>6.2466916269891485E-3</v>
      </c>
      <c r="AU34">
        <f t="shared" si="16"/>
        <v>6.1601502932423328E-3</v>
      </c>
      <c r="AV34">
        <f t="shared" si="16"/>
        <v>6.0767189126585052E-3</v>
      </c>
      <c r="AW34">
        <f t="shared" si="16"/>
        <v>5.9963974852376718E-3</v>
      </c>
      <c r="AX34">
        <f t="shared" si="16"/>
        <v>5.9191860109798324E-3</v>
      </c>
      <c r="AY34">
        <f t="shared" si="16"/>
        <v>5.8450844898849802E-3</v>
      </c>
      <c r="AZ34">
        <f t="shared" si="16"/>
        <v>5.7740929219531221E-3</v>
      </c>
      <c r="BA34">
        <f t="shared" si="16"/>
        <v>5.7062113071842512E-3</v>
      </c>
      <c r="BB34">
        <f t="shared" si="16"/>
        <v>5.6414396455783744E-3</v>
      </c>
      <c r="BC34">
        <f t="shared" si="16"/>
        <v>5.5797779371354918E-3</v>
      </c>
      <c r="BD34">
        <f t="shared" si="16"/>
        <v>5.5212261818555963E-3</v>
      </c>
      <c r="BE34">
        <f t="shared" si="16"/>
        <v>5.4657843797386949E-3</v>
      </c>
      <c r="BF34">
        <f t="shared" si="16"/>
        <v>5.4134525307847877E-3</v>
      </c>
      <c r="BG34">
        <f t="shared" si="16"/>
        <v>5.3642306349938676E-3</v>
      </c>
      <c r="BH34">
        <f t="shared" si="15"/>
        <v>5.3181186923659338E-3</v>
      </c>
      <c r="BI34">
        <f t="shared" si="15"/>
        <v>5.2751167029009959E-3</v>
      </c>
      <c r="BJ34">
        <f t="shared" si="15"/>
        <v>5.2352246665990504E-3</v>
      </c>
      <c r="BK34">
        <f t="shared" si="15"/>
        <v>5.1984425834601007E-3</v>
      </c>
      <c r="BL34">
        <f t="shared" si="15"/>
        <v>5.1647704534841365E-3</v>
      </c>
      <c r="BM34">
        <f t="shared" si="15"/>
        <v>5.1342082766711672E-3</v>
      </c>
      <c r="BN34">
        <f t="shared" si="15"/>
        <v>5.1067560530211852E-3</v>
      </c>
      <c r="BO34">
        <f t="shared" si="13"/>
        <v>5.0824137825341972E-3</v>
      </c>
      <c r="BP34">
        <f t="shared" si="13"/>
        <v>5.0611814652102034E-3</v>
      </c>
      <c r="BQ34">
        <f t="shared" si="13"/>
        <v>5.0430591010491967E-3</v>
      </c>
      <c r="BR34">
        <f t="shared" si="13"/>
        <v>5.0280466900511772E-3</v>
      </c>
      <c r="BS34">
        <f t="shared" si="13"/>
        <v>5.0161442322161588E-3</v>
      </c>
      <c r="BT34">
        <f t="shared" si="13"/>
        <v>5.0073517275441275E-3</v>
      </c>
      <c r="BU34">
        <f t="shared" si="13"/>
        <v>5.0016691760350826E-3</v>
      </c>
      <c r="BV34">
        <f t="shared" si="13"/>
        <v>4.9990965776890335E-3</v>
      </c>
      <c r="BW34">
        <f t="shared" si="13"/>
        <v>4.9996339325059837E-3</v>
      </c>
      <c r="BX34">
        <f t="shared" si="13"/>
        <v>5.0032812404859151E-3</v>
      </c>
      <c r="BY34">
        <f t="shared" si="13"/>
        <v>5.0100385016288405E-3</v>
      </c>
      <c r="BZ34">
        <f t="shared" si="13"/>
        <v>5.0199057159347532E-3</v>
      </c>
      <c r="CA34">
        <f t="shared" si="13"/>
        <v>5.0328828834036669E-3</v>
      </c>
      <c r="CB34">
        <f t="shared" si="13"/>
        <v>5.0489700040355617E-3</v>
      </c>
      <c r="CC34">
        <f t="shared" si="13"/>
        <v>5.0681670778304558E-3</v>
      </c>
      <c r="CD34">
        <f t="shared" si="13"/>
        <v>5.0904741047883319E-3</v>
      </c>
      <c r="CE34">
        <f t="shared" si="10"/>
        <v>5.1158910849092142E-3</v>
      </c>
      <c r="CF34">
        <f t="shared" si="7"/>
        <v>5.1444180181930777E-3</v>
      </c>
      <c r="CG34">
        <f t="shared" si="11"/>
        <v>5.1760549046399283E-3</v>
      </c>
      <c r="CH34">
        <f t="shared" si="11"/>
        <v>5.2108017442497791E-3</v>
      </c>
      <c r="CI34">
        <f t="shared" si="11"/>
        <v>5.2486585370226189E-3</v>
      </c>
      <c r="CJ34">
        <f t="shared" si="11"/>
        <v>5.289625282958451E-3</v>
      </c>
      <c r="CK34">
        <f t="shared" si="11"/>
        <v>5.333701982057272E-3</v>
      </c>
      <c r="CL34">
        <f t="shared" si="11"/>
        <v>5.3808886343190854E-3</v>
      </c>
      <c r="CM34">
        <f t="shared" si="11"/>
        <v>5.4311852397438878E-3</v>
      </c>
      <c r="CN34">
        <f t="shared" si="11"/>
        <v>5.4845917983316825E-3</v>
      </c>
      <c r="CO34">
        <f t="shared" si="11"/>
        <v>5.541108310082473E-3</v>
      </c>
      <c r="CP34">
        <f t="shared" si="11"/>
        <v>5.6007347749962421E-3</v>
      </c>
      <c r="CQ34">
        <f t="shared" si="11"/>
        <v>5.66347119307302E-3</v>
      </c>
      <c r="CR34">
        <f t="shared" si="11"/>
        <v>5.7293175643127782E-3</v>
      </c>
      <c r="CS34">
        <f t="shared" si="11"/>
        <v>5.7982738887155305E-3</v>
      </c>
      <c r="CT34">
        <f t="shared" si="11"/>
        <v>5.8703401662812769E-3</v>
      </c>
      <c r="CU34">
        <f t="shared" ref="CG34:CV49" si="17">$H$3+$H$4*CU$2+$H$5*CU$2*CU$2+$H$6*$S34+$H$7*$S34*$S34+$H$8*CU$2*$S34</f>
        <v>5.9455163970100174E-3</v>
      </c>
      <c r="CV34">
        <f t="shared" si="17"/>
        <v>6.0238025809017381E-3</v>
      </c>
    </row>
    <row r="35" spans="1:100" x14ac:dyDescent="0.2">
      <c r="A35">
        <v>0.36666670000000001</v>
      </c>
      <c r="B35">
        <f t="shared" si="0"/>
        <v>0.13444446888889</v>
      </c>
      <c r="C35">
        <v>37.5</v>
      </c>
      <c r="D35">
        <f t="shared" si="1"/>
        <v>1406.25</v>
      </c>
      <c r="E35">
        <f t="shared" si="2"/>
        <v>13.75000125</v>
      </c>
      <c r="F35">
        <v>6.02222E-3</v>
      </c>
      <c r="S35">
        <v>33.200000000000102</v>
      </c>
      <c r="T35">
        <f t="shared" si="14"/>
        <v>9.5730012145072828E-3</v>
      </c>
      <c r="U35">
        <f t="shared" si="14"/>
        <v>9.4055058679399575E-3</v>
      </c>
      <c r="V35">
        <f t="shared" si="14"/>
        <v>9.2411204745356263E-3</v>
      </c>
      <c r="W35">
        <f t="shared" si="14"/>
        <v>9.0798450342942875E-3</v>
      </c>
      <c r="X35">
        <f t="shared" si="14"/>
        <v>8.9216795472159445E-3</v>
      </c>
      <c r="Y35">
        <f t="shared" si="14"/>
        <v>8.7666240133005818E-3</v>
      </c>
      <c r="Z35">
        <f t="shared" si="14"/>
        <v>8.6146784325482131E-3</v>
      </c>
      <c r="AA35">
        <f t="shared" si="14"/>
        <v>8.465842804958823E-3</v>
      </c>
      <c r="AB35">
        <f t="shared" si="14"/>
        <v>8.3201171305324426E-3</v>
      </c>
      <c r="AC35">
        <f t="shared" si="14"/>
        <v>8.1775014092690564E-3</v>
      </c>
      <c r="AD35">
        <f t="shared" si="14"/>
        <v>8.0379956411686486E-3</v>
      </c>
      <c r="AE35">
        <f t="shared" si="14"/>
        <v>7.9015998262312367E-3</v>
      </c>
      <c r="AF35">
        <f t="shared" si="14"/>
        <v>7.7683139644568189E-3</v>
      </c>
      <c r="AG35">
        <f t="shared" si="14"/>
        <v>7.6381380558453943E-3</v>
      </c>
      <c r="AH35">
        <f t="shared" si="14"/>
        <v>7.5110721003969509E-3</v>
      </c>
      <c r="AI35">
        <f t="shared" si="14"/>
        <v>7.3871160981115076E-3</v>
      </c>
      <c r="AJ35">
        <f t="shared" si="12"/>
        <v>7.2662700489890524E-3</v>
      </c>
      <c r="AK35">
        <f t="shared" si="12"/>
        <v>7.1485339530295835E-3</v>
      </c>
      <c r="AL35">
        <f t="shared" si="12"/>
        <v>7.0339078102331165E-3</v>
      </c>
      <c r="AM35">
        <f t="shared" si="12"/>
        <v>6.9223916205996359E-3</v>
      </c>
      <c r="AN35">
        <f t="shared" si="12"/>
        <v>6.8139853841291433E-3</v>
      </c>
      <c r="AO35">
        <f t="shared" si="12"/>
        <v>6.7086891008216508E-3</v>
      </c>
      <c r="AP35">
        <f t="shared" si="12"/>
        <v>6.6065027706771456E-3</v>
      </c>
      <c r="AQ35">
        <f t="shared" si="12"/>
        <v>6.5074263936956284E-3</v>
      </c>
      <c r="AR35">
        <f t="shared" si="16"/>
        <v>6.4114599698771044E-3</v>
      </c>
      <c r="AS35">
        <f t="shared" si="16"/>
        <v>6.3186034992215685E-3</v>
      </c>
      <c r="AT35">
        <f t="shared" si="16"/>
        <v>6.2288569817290328E-3</v>
      </c>
      <c r="AU35">
        <f t="shared" si="16"/>
        <v>6.1422204173994851E-3</v>
      </c>
      <c r="AV35">
        <f t="shared" si="16"/>
        <v>6.0586938062329237E-3</v>
      </c>
      <c r="AW35">
        <f t="shared" si="16"/>
        <v>5.9782771482293565E-3</v>
      </c>
      <c r="AX35">
        <f t="shared" si="16"/>
        <v>5.9009704433887842E-3</v>
      </c>
      <c r="AY35">
        <f t="shared" si="16"/>
        <v>5.8267736917111991E-3</v>
      </c>
      <c r="AZ35">
        <f t="shared" si="16"/>
        <v>5.7556868931966073E-3</v>
      </c>
      <c r="BA35">
        <f t="shared" si="16"/>
        <v>5.6877100478450026E-3</v>
      </c>
      <c r="BB35">
        <f t="shared" si="16"/>
        <v>5.6228431556563929E-3</v>
      </c>
      <c r="BC35">
        <f t="shared" si="16"/>
        <v>5.5610862166307765E-3</v>
      </c>
      <c r="BD35">
        <f t="shared" si="16"/>
        <v>5.5024392307681481E-3</v>
      </c>
      <c r="BE35">
        <f t="shared" si="16"/>
        <v>5.446902198068513E-3</v>
      </c>
      <c r="BF35">
        <f t="shared" si="16"/>
        <v>5.3944751185318728E-3</v>
      </c>
      <c r="BG35">
        <f t="shared" si="16"/>
        <v>5.345157992158219E-3</v>
      </c>
      <c r="BH35">
        <f t="shared" si="15"/>
        <v>5.2989508189475523E-3</v>
      </c>
      <c r="BI35">
        <f t="shared" si="15"/>
        <v>5.2558535988998806E-3</v>
      </c>
      <c r="BJ35">
        <f t="shared" si="15"/>
        <v>5.2158663320152031E-3</v>
      </c>
      <c r="BK35">
        <f t="shared" si="15"/>
        <v>5.1789890182935188E-3</v>
      </c>
      <c r="BL35">
        <f t="shared" si="15"/>
        <v>5.1452216577348216E-3</v>
      </c>
      <c r="BM35">
        <f t="shared" si="15"/>
        <v>5.1145642503391195E-3</v>
      </c>
      <c r="BN35">
        <f t="shared" si="15"/>
        <v>5.0870167961064037E-3</v>
      </c>
      <c r="BO35">
        <f t="shared" si="13"/>
        <v>5.0625792950366828E-3</v>
      </c>
      <c r="BP35">
        <f t="shared" si="13"/>
        <v>5.0412517471299552E-3</v>
      </c>
      <c r="BQ35">
        <f t="shared" si="13"/>
        <v>5.0230341523862156E-3</v>
      </c>
      <c r="BR35">
        <f t="shared" si="13"/>
        <v>5.0079265108054624E-3</v>
      </c>
      <c r="BS35">
        <f t="shared" si="13"/>
        <v>4.9959288223877111E-3</v>
      </c>
      <c r="BT35">
        <f t="shared" si="13"/>
        <v>4.987041087132946E-3</v>
      </c>
      <c r="BU35">
        <f t="shared" si="13"/>
        <v>4.9812633050411691E-3</v>
      </c>
      <c r="BV35">
        <f t="shared" si="13"/>
        <v>4.9785954761123853E-3</v>
      </c>
      <c r="BW35">
        <f t="shared" si="13"/>
        <v>4.9790376003466027E-3</v>
      </c>
      <c r="BX35">
        <f t="shared" si="13"/>
        <v>4.9825896777438011E-3</v>
      </c>
      <c r="BY35">
        <f t="shared" si="13"/>
        <v>4.9892517083039928E-3</v>
      </c>
      <c r="BZ35">
        <f t="shared" si="13"/>
        <v>4.9990236920271717E-3</v>
      </c>
      <c r="CA35">
        <f t="shared" si="13"/>
        <v>5.0119056289133525E-3</v>
      </c>
      <c r="CB35">
        <f t="shared" si="13"/>
        <v>5.0278975189625135E-3</v>
      </c>
      <c r="CC35">
        <f t="shared" si="13"/>
        <v>5.0469993621746756E-3</v>
      </c>
      <c r="CD35">
        <f t="shared" si="13"/>
        <v>5.0692111585498171E-3</v>
      </c>
      <c r="CE35">
        <f t="shared" si="10"/>
        <v>5.0945329080879665E-3</v>
      </c>
      <c r="CF35">
        <f t="shared" si="7"/>
        <v>5.1229646107890971E-3</v>
      </c>
      <c r="CG35">
        <f t="shared" si="17"/>
        <v>5.1545062666532131E-3</v>
      </c>
      <c r="CH35">
        <f t="shared" si="17"/>
        <v>5.1891578756803319E-3</v>
      </c>
      <c r="CI35">
        <f t="shared" si="17"/>
        <v>5.2269194378704378E-3</v>
      </c>
      <c r="CJ35">
        <f t="shared" si="17"/>
        <v>5.2677909532235371E-3</v>
      </c>
      <c r="CK35">
        <f t="shared" si="17"/>
        <v>5.3117724217396235E-3</v>
      </c>
      <c r="CL35">
        <f t="shared" si="17"/>
        <v>5.3588638434187048E-3</v>
      </c>
      <c r="CM35">
        <f t="shared" si="17"/>
        <v>5.4090652182607734E-3</v>
      </c>
      <c r="CN35">
        <f t="shared" si="17"/>
        <v>5.4623765462658361E-3</v>
      </c>
      <c r="CO35">
        <f t="shared" si="17"/>
        <v>5.518797827433892E-3</v>
      </c>
      <c r="CP35">
        <f t="shared" si="17"/>
        <v>5.5783290617649282E-3</v>
      </c>
      <c r="CQ35">
        <f t="shared" si="17"/>
        <v>5.6409702492589732E-3</v>
      </c>
      <c r="CR35">
        <f t="shared" si="17"/>
        <v>5.7067213899159976E-3</v>
      </c>
      <c r="CS35">
        <f t="shared" si="17"/>
        <v>5.7755824837360161E-3</v>
      </c>
      <c r="CT35">
        <f t="shared" si="17"/>
        <v>5.8475535307190296E-3</v>
      </c>
      <c r="CU35">
        <f t="shared" si="17"/>
        <v>5.9226345308650364E-3</v>
      </c>
      <c r="CV35">
        <f t="shared" si="17"/>
        <v>6.0008254841740234E-3</v>
      </c>
    </row>
    <row r="36" spans="1:100" x14ac:dyDescent="0.2">
      <c r="A36">
        <v>0.4555556</v>
      </c>
      <c r="B36">
        <f t="shared" si="0"/>
        <v>0.20753090469136001</v>
      </c>
      <c r="C36">
        <v>37.5</v>
      </c>
      <c r="D36">
        <f t="shared" si="1"/>
        <v>1406.25</v>
      </c>
      <c r="E36">
        <f t="shared" si="2"/>
        <v>17.083335000000002</v>
      </c>
      <c r="F36">
        <v>5.7407400000000003E-3</v>
      </c>
      <c r="S36">
        <v>33.299999999999997</v>
      </c>
      <c r="T36">
        <f t="shared" si="14"/>
        <v>9.5585430181250684E-3</v>
      </c>
      <c r="U36">
        <f t="shared" si="14"/>
        <v>9.3909524409750093E-3</v>
      </c>
      <c r="V36">
        <f t="shared" si="14"/>
        <v>9.2264718169879443E-3</v>
      </c>
      <c r="W36">
        <f t="shared" si="14"/>
        <v>9.0651011461638734E-3</v>
      </c>
      <c r="X36">
        <f t="shared" si="14"/>
        <v>8.9068404285027967E-3</v>
      </c>
      <c r="Y36">
        <f t="shared" si="14"/>
        <v>8.7516896640047019E-3</v>
      </c>
      <c r="Z36">
        <f t="shared" si="14"/>
        <v>8.5996488526695995E-3</v>
      </c>
      <c r="AA36">
        <f t="shared" si="14"/>
        <v>8.4507179944974774E-3</v>
      </c>
      <c r="AB36">
        <f t="shared" si="14"/>
        <v>8.3048970894883632E-3</v>
      </c>
      <c r="AC36">
        <f t="shared" si="14"/>
        <v>8.1621861376422432E-3</v>
      </c>
      <c r="AD36">
        <f t="shared" si="14"/>
        <v>8.0225851389591034E-3</v>
      </c>
      <c r="AE36">
        <f t="shared" si="14"/>
        <v>7.8860940934389577E-3</v>
      </c>
      <c r="AF36">
        <f t="shared" si="14"/>
        <v>7.7527130010818061E-3</v>
      </c>
      <c r="AG36">
        <f t="shared" si="14"/>
        <v>7.6224418618876487E-3</v>
      </c>
      <c r="AH36">
        <f t="shared" si="14"/>
        <v>7.4952806758564723E-3</v>
      </c>
      <c r="AI36">
        <f t="shared" si="14"/>
        <v>7.3712294429882962E-3</v>
      </c>
      <c r="AJ36">
        <f t="shared" si="12"/>
        <v>7.2502881632831072E-3</v>
      </c>
      <c r="AK36">
        <f t="shared" si="12"/>
        <v>7.1324568367409054E-3</v>
      </c>
      <c r="AL36">
        <f t="shared" si="12"/>
        <v>7.0177354633617055E-3</v>
      </c>
      <c r="AM36">
        <f t="shared" si="12"/>
        <v>6.906124043145492E-3</v>
      </c>
      <c r="AN36">
        <f t="shared" si="12"/>
        <v>6.7976225760922656E-3</v>
      </c>
      <c r="AO36">
        <f t="shared" si="12"/>
        <v>6.6922310622020403E-3</v>
      </c>
      <c r="AP36">
        <f t="shared" si="12"/>
        <v>6.5899495014748021E-3</v>
      </c>
      <c r="AQ36">
        <f t="shared" si="12"/>
        <v>6.4907778939105511E-3</v>
      </c>
      <c r="AR36">
        <f t="shared" si="16"/>
        <v>6.3947162395092943E-3</v>
      </c>
      <c r="AS36">
        <f t="shared" si="16"/>
        <v>6.3017645382710255E-3</v>
      </c>
      <c r="AT36">
        <f t="shared" si="16"/>
        <v>6.2119227901957568E-3</v>
      </c>
      <c r="AU36">
        <f t="shared" si="16"/>
        <v>6.1251909952834763E-3</v>
      </c>
      <c r="AV36">
        <f t="shared" si="16"/>
        <v>6.041569153534182E-3</v>
      </c>
      <c r="AW36">
        <f t="shared" si="16"/>
        <v>5.9610572649478819E-3</v>
      </c>
      <c r="AX36">
        <f t="shared" si="16"/>
        <v>5.8836553295245758E-3</v>
      </c>
      <c r="AY36">
        <f t="shared" si="16"/>
        <v>5.809363347264257E-3</v>
      </c>
      <c r="AZ36">
        <f t="shared" si="16"/>
        <v>5.7381813181669322E-3</v>
      </c>
      <c r="BA36">
        <f t="shared" si="16"/>
        <v>5.6701092422325947E-3</v>
      </c>
      <c r="BB36">
        <f t="shared" si="16"/>
        <v>5.6051471194612521E-3</v>
      </c>
      <c r="BC36">
        <f t="shared" si="16"/>
        <v>5.5432949498529028E-3</v>
      </c>
      <c r="BD36">
        <f t="shared" si="16"/>
        <v>5.4845527334075406E-3</v>
      </c>
      <c r="BE36">
        <f t="shared" si="16"/>
        <v>5.4289204701251726E-3</v>
      </c>
      <c r="BF36">
        <f t="shared" si="16"/>
        <v>5.3763981600057995E-3</v>
      </c>
      <c r="BG36">
        <f t="shared" si="16"/>
        <v>5.3269858030494128E-3</v>
      </c>
      <c r="BH36">
        <f t="shared" si="15"/>
        <v>5.2806833992560132E-3</v>
      </c>
      <c r="BI36">
        <f t="shared" si="15"/>
        <v>5.2374909486256078E-3</v>
      </c>
      <c r="BJ36">
        <f t="shared" si="15"/>
        <v>5.1974084511581965E-3</v>
      </c>
      <c r="BK36">
        <f t="shared" si="15"/>
        <v>5.1604359068537792E-3</v>
      </c>
      <c r="BL36">
        <f t="shared" si="15"/>
        <v>5.1265733157123492E-3</v>
      </c>
      <c r="BM36">
        <f t="shared" si="15"/>
        <v>5.0958206777339142E-3</v>
      </c>
      <c r="BN36">
        <f t="shared" si="15"/>
        <v>5.0681779929184654E-3</v>
      </c>
      <c r="BO36">
        <f t="shared" si="13"/>
        <v>5.0436452612660117E-3</v>
      </c>
      <c r="BP36">
        <f t="shared" si="13"/>
        <v>5.0222224827765512E-3</v>
      </c>
      <c r="BQ36">
        <f t="shared" si="13"/>
        <v>5.0039096574500778E-3</v>
      </c>
      <c r="BR36">
        <f t="shared" si="13"/>
        <v>4.9887067852865917E-3</v>
      </c>
      <c r="BS36">
        <f t="shared" si="13"/>
        <v>4.9766138662861066E-3</v>
      </c>
      <c r="BT36">
        <f t="shared" si="13"/>
        <v>4.9676309004486087E-3</v>
      </c>
      <c r="BU36">
        <f t="shared" si="13"/>
        <v>4.961757887774098E-3</v>
      </c>
      <c r="BV36">
        <f t="shared" si="13"/>
        <v>4.9589948282625813E-3</v>
      </c>
      <c r="BW36">
        <f t="shared" si="13"/>
        <v>4.9593417219140666E-3</v>
      </c>
      <c r="BX36">
        <f t="shared" si="13"/>
        <v>4.9627985687285313E-3</v>
      </c>
      <c r="BY36">
        <f t="shared" si="13"/>
        <v>4.9693653687059901E-3</v>
      </c>
      <c r="BZ36">
        <f t="shared" si="13"/>
        <v>4.9790421218464361E-3</v>
      </c>
      <c r="CA36">
        <f t="shared" si="13"/>
        <v>4.991828828149884E-3</v>
      </c>
      <c r="CB36">
        <f t="shared" si="13"/>
        <v>5.0077254876163112E-3</v>
      </c>
      <c r="CC36">
        <f t="shared" si="13"/>
        <v>5.0267321002457396E-3</v>
      </c>
      <c r="CD36">
        <f t="shared" si="13"/>
        <v>5.0488486660381481E-3</v>
      </c>
      <c r="CE36">
        <f t="shared" si="10"/>
        <v>5.0740751849935655E-3</v>
      </c>
      <c r="CF36">
        <f t="shared" si="7"/>
        <v>5.1024116571119623E-3</v>
      </c>
      <c r="CG36">
        <f t="shared" si="17"/>
        <v>5.1338580823933454E-3</v>
      </c>
      <c r="CH36">
        <f t="shared" si="17"/>
        <v>5.1684144608377313E-3</v>
      </c>
      <c r="CI36">
        <f t="shared" si="17"/>
        <v>5.2060807924451035E-3</v>
      </c>
      <c r="CJ36">
        <f t="shared" si="17"/>
        <v>5.2468570772154707E-3</v>
      </c>
      <c r="CK36">
        <f t="shared" si="17"/>
        <v>5.2907433151488242E-3</v>
      </c>
      <c r="CL36">
        <f t="shared" si="17"/>
        <v>5.3377395062451718E-3</v>
      </c>
      <c r="CM36">
        <f t="shared" si="17"/>
        <v>5.3878456505045066E-3</v>
      </c>
      <c r="CN36">
        <f t="shared" si="17"/>
        <v>5.4410617479268356E-3</v>
      </c>
      <c r="CO36">
        <f t="shared" si="17"/>
        <v>5.4973877985121595E-3</v>
      </c>
      <c r="CP36">
        <f t="shared" si="17"/>
        <v>5.5568238022604627E-3</v>
      </c>
      <c r="CQ36">
        <f t="shared" si="17"/>
        <v>5.619369759171774E-3</v>
      </c>
      <c r="CR36">
        <f t="shared" si="17"/>
        <v>5.6850256692460655E-3</v>
      </c>
      <c r="CS36">
        <f t="shared" si="17"/>
        <v>5.7537915324833511E-3</v>
      </c>
      <c r="CT36">
        <f t="shared" si="17"/>
        <v>5.8256673488836317E-3</v>
      </c>
      <c r="CU36">
        <f t="shared" si="17"/>
        <v>5.9006531184469056E-3</v>
      </c>
      <c r="CV36">
        <f t="shared" si="17"/>
        <v>5.9787488411731596E-3</v>
      </c>
    </row>
    <row r="37" spans="1:100" x14ac:dyDescent="0.2">
      <c r="A37">
        <v>0.54444440000000005</v>
      </c>
      <c r="B37">
        <f t="shared" si="0"/>
        <v>0.29641970469136003</v>
      </c>
      <c r="C37">
        <v>37.5</v>
      </c>
      <c r="D37">
        <f t="shared" si="1"/>
        <v>1406.25</v>
      </c>
      <c r="E37">
        <f t="shared" si="2"/>
        <v>20.416665000000002</v>
      </c>
      <c r="F37">
        <v>5.6666700000000004E-3</v>
      </c>
      <c r="S37">
        <v>33.4</v>
      </c>
      <c r="T37">
        <f t="shared" si="14"/>
        <v>9.5449852754696564E-3</v>
      </c>
      <c r="U37">
        <f t="shared" si="14"/>
        <v>9.3772994677368653E-3</v>
      </c>
      <c r="V37">
        <f t="shared" si="14"/>
        <v>9.2127236131670665E-3</v>
      </c>
      <c r="W37">
        <f t="shared" si="14"/>
        <v>9.0512577117602619E-3</v>
      </c>
      <c r="X37">
        <f t="shared" si="14"/>
        <v>8.8929017635164531E-3</v>
      </c>
      <c r="Y37">
        <f t="shared" si="14"/>
        <v>8.7376557684356228E-3</v>
      </c>
      <c r="Z37">
        <f t="shared" si="14"/>
        <v>8.5855197265177884E-3</v>
      </c>
      <c r="AA37">
        <f t="shared" si="14"/>
        <v>8.4364936377629325E-3</v>
      </c>
      <c r="AB37">
        <f t="shared" si="14"/>
        <v>8.2905775021710863E-3</v>
      </c>
      <c r="AC37">
        <f t="shared" si="14"/>
        <v>8.1477713197422325E-3</v>
      </c>
      <c r="AD37">
        <f t="shared" si="14"/>
        <v>8.008075090476359E-3</v>
      </c>
      <c r="AE37">
        <f t="shared" si="14"/>
        <v>7.8714888143734812E-3</v>
      </c>
      <c r="AF37">
        <f t="shared" si="14"/>
        <v>7.7380124914335959E-3</v>
      </c>
      <c r="AG37">
        <f t="shared" si="14"/>
        <v>7.6076461216567056E-3</v>
      </c>
      <c r="AH37">
        <f t="shared" si="14"/>
        <v>7.4803897050427955E-3</v>
      </c>
      <c r="AI37">
        <f t="shared" si="14"/>
        <v>7.3562432415918864E-3</v>
      </c>
      <c r="AJ37">
        <f t="shared" si="12"/>
        <v>7.2352067313039645E-3</v>
      </c>
      <c r="AK37">
        <f t="shared" si="12"/>
        <v>7.117280174179029E-3</v>
      </c>
      <c r="AL37">
        <f t="shared" si="12"/>
        <v>7.0024635702170953E-3</v>
      </c>
      <c r="AM37">
        <f t="shared" si="12"/>
        <v>6.8907569194181489E-3</v>
      </c>
      <c r="AN37">
        <f t="shared" si="12"/>
        <v>6.7821602217821896E-3</v>
      </c>
      <c r="AO37">
        <f t="shared" si="12"/>
        <v>6.6766734773092314E-3</v>
      </c>
      <c r="AP37">
        <f t="shared" si="12"/>
        <v>6.5742966859992594E-3</v>
      </c>
      <c r="AQ37">
        <f t="shared" si="12"/>
        <v>6.4750298478522756E-3</v>
      </c>
      <c r="AR37">
        <f t="shared" si="16"/>
        <v>6.3788729628682858E-3</v>
      </c>
      <c r="AS37">
        <f t="shared" si="16"/>
        <v>6.2858260310472832E-3</v>
      </c>
      <c r="AT37">
        <f t="shared" si="16"/>
        <v>6.1958890523892817E-3</v>
      </c>
      <c r="AU37">
        <f t="shared" si="16"/>
        <v>6.1090620268942674E-3</v>
      </c>
      <c r="AV37">
        <f t="shared" si="16"/>
        <v>6.0253449545622393E-3</v>
      </c>
      <c r="AW37">
        <f t="shared" si="16"/>
        <v>5.9447378353932063E-3</v>
      </c>
      <c r="AX37">
        <f t="shared" si="16"/>
        <v>5.8672406693871674E-3</v>
      </c>
      <c r="AY37">
        <f t="shared" si="16"/>
        <v>5.7928534565441156E-3</v>
      </c>
      <c r="AZ37">
        <f t="shared" si="16"/>
        <v>5.721576196864058E-3</v>
      </c>
      <c r="BA37">
        <f t="shared" si="16"/>
        <v>5.6534088903469875E-3</v>
      </c>
      <c r="BB37">
        <f t="shared" si="16"/>
        <v>5.5883515369929103E-3</v>
      </c>
      <c r="BC37">
        <f t="shared" si="16"/>
        <v>5.5264041368018281E-3</v>
      </c>
      <c r="BD37">
        <f t="shared" si="16"/>
        <v>5.467566689773733E-3</v>
      </c>
      <c r="BE37">
        <f t="shared" si="16"/>
        <v>5.4118391959086321E-3</v>
      </c>
      <c r="BF37">
        <f t="shared" si="16"/>
        <v>5.3592216552065253E-3</v>
      </c>
      <c r="BG37">
        <f t="shared" si="16"/>
        <v>5.3097140676674048E-3</v>
      </c>
      <c r="BH37">
        <f t="shared" si="15"/>
        <v>5.2633164332912732E-3</v>
      </c>
      <c r="BI37">
        <f t="shared" si="15"/>
        <v>5.220028752078134E-3</v>
      </c>
      <c r="BJ37">
        <f t="shared" si="15"/>
        <v>5.1798510240279897E-3</v>
      </c>
      <c r="BK37">
        <f t="shared" si="15"/>
        <v>5.1427832491408396E-3</v>
      </c>
      <c r="BL37">
        <f t="shared" si="15"/>
        <v>5.1088254274166758E-3</v>
      </c>
      <c r="BM37">
        <f t="shared" si="15"/>
        <v>5.077977558855507E-3</v>
      </c>
      <c r="BN37">
        <f t="shared" si="15"/>
        <v>5.0502396434573254E-3</v>
      </c>
      <c r="BO37">
        <f t="shared" si="13"/>
        <v>5.0256116812221379E-3</v>
      </c>
      <c r="BP37">
        <f t="shared" si="13"/>
        <v>5.0040936721499445E-3</v>
      </c>
      <c r="BQ37">
        <f t="shared" si="13"/>
        <v>4.9856856162407382E-3</v>
      </c>
      <c r="BR37">
        <f t="shared" si="13"/>
        <v>4.9703875134945192E-3</v>
      </c>
      <c r="BS37">
        <f t="shared" si="13"/>
        <v>4.9581993639113012E-3</v>
      </c>
      <c r="BT37">
        <f t="shared" si="13"/>
        <v>4.9491211674910704E-3</v>
      </c>
      <c r="BU37">
        <f t="shared" si="13"/>
        <v>4.9431529242338259E-3</v>
      </c>
      <c r="BV37">
        <f t="shared" si="13"/>
        <v>4.9402946341395764E-3</v>
      </c>
      <c r="BW37">
        <f t="shared" si="13"/>
        <v>4.9405462972083279E-3</v>
      </c>
      <c r="BX37">
        <f t="shared" si="13"/>
        <v>4.9439079134400588E-3</v>
      </c>
      <c r="BY37">
        <f t="shared" si="13"/>
        <v>4.9503794828347847E-3</v>
      </c>
      <c r="BZ37">
        <f t="shared" si="13"/>
        <v>4.9599610053924978E-3</v>
      </c>
      <c r="CA37">
        <f t="shared" si="13"/>
        <v>4.9726524811132128E-3</v>
      </c>
      <c r="CB37">
        <f t="shared" si="13"/>
        <v>4.9884539099969063E-3</v>
      </c>
      <c r="CC37">
        <f t="shared" si="13"/>
        <v>5.0073652920436017E-3</v>
      </c>
      <c r="CD37">
        <f t="shared" si="13"/>
        <v>5.0293866272532774E-3</v>
      </c>
      <c r="CE37">
        <f t="shared" si="10"/>
        <v>5.0545179156259602E-3</v>
      </c>
      <c r="CF37">
        <f t="shared" si="7"/>
        <v>5.0827591571616249E-3</v>
      </c>
      <c r="CG37">
        <f t="shared" si="17"/>
        <v>5.1141103518602751E-3</v>
      </c>
      <c r="CH37">
        <f t="shared" si="17"/>
        <v>5.1485714997219264E-3</v>
      </c>
      <c r="CI37">
        <f t="shared" si="17"/>
        <v>5.1861426007465666E-3</v>
      </c>
      <c r="CJ37">
        <f t="shared" si="17"/>
        <v>5.2268236549341991E-3</v>
      </c>
      <c r="CK37">
        <f t="shared" si="17"/>
        <v>5.2706146622848197E-3</v>
      </c>
      <c r="CL37">
        <f t="shared" si="17"/>
        <v>5.3175156227984344E-3</v>
      </c>
      <c r="CM37">
        <f t="shared" si="17"/>
        <v>5.3675265364750363E-3</v>
      </c>
      <c r="CN37">
        <f t="shared" si="17"/>
        <v>5.4206474033146324E-3</v>
      </c>
      <c r="CO37">
        <f t="shared" si="17"/>
        <v>5.4768782233172225E-3</v>
      </c>
      <c r="CP37">
        <f t="shared" si="17"/>
        <v>5.5362189964827929E-3</v>
      </c>
      <c r="CQ37">
        <f t="shared" si="17"/>
        <v>5.5986697228113703E-3</v>
      </c>
      <c r="CR37">
        <f t="shared" si="17"/>
        <v>5.664230402302929E-3</v>
      </c>
      <c r="CS37">
        <f t="shared" si="17"/>
        <v>5.7329010349574817E-3</v>
      </c>
      <c r="CT37">
        <f t="shared" si="17"/>
        <v>5.8046816207750285E-3</v>
      </c>
      <c r="CU37">
        <f t="shared" si="17"/>
        <v>5.8795721597555695E-3</v>
      </c>
      <c r="CV37">
        <f t="shared" si="17"/>
        <v>5.9575726518990898E-3</v>
      </c>
    </row>
    <row r="38" spans="1:100" x14ac:dyDescent="0.2">
      <c r="A38">
        <v>0.63333329999999999</v>
      </c>
      <c r="B38">
        <f t="shared" si="0"/>
        <v>0.40111106888888998</v>
      </c>
      <c r="C38">
        <v>37.5</v>
      </c>
      <c r="D38">
        <f t="shared" si="1"/>
        <v>1406.25</v>
      </c>
      <c r="E38">
        <f t="shared" si="2"/>
        <v>23.74999875</v>
      </c>
      <c r="F38">
        <v>5.31111E-3</v>
      </c>
      <c r="S38">
        <v>33.5</v>
      </c>
      <c r="T38">
        <f t="shared" si="14"/>
        <v>9.5323279865410764E-3</v>
      </c>
      <c r="U38">
        <f t="shared" si="14"/>
        <v>9.3645469482255515E-3</v>
      </c>
      <c r="V38">
        <f t="shared" si="14"/>
        <v>9.1998758630730208E-3</v>
      </c>
      <c r="W38">
        <f t="shared" si="14"/>
        <v>9.0383147310834824E-3</v>
      </c>
      <c r="X38">
        <f t="shared" si="14"/>
        <v>8.8798635522569398E-3</v>
      </c>
      <c r="Y38">
        <f t="shared" si="14"/>
        <v>8.7245223265933775E-3</v>
      </c>
      <c r="Z38">
        <f t="shared" si="14"/>
        <v>8.5722910540928093E-3</v>
      </c>
      <c r="AA38">
        <f t="shared" si="14"/>
        <v>8.4231697347552197E-3</v>
      </c>
      <c r="AB38">
        <f t="shared" si="14"/>
        <v>8.2771583685806397E-3</v>
      </c>
      <c r="AC38">
        <f t="shared" si="14"/>
        <v>8.1342569555690539E-3</v>
      </c>
      <c r="AD38">
        <f t="shared" si="14"/>
        <v>7.9944654957204483E-3</v>
      </c>
      <c r="AE38">
        <f t="shared" si="14"/>
        <v>7.8577839890348351E-3</v>
      </c>
      <c r="AF38">
        <f t="shared" si="14"/>
        <v>7.7242124355122177E-3</v>
      </c>
      <c r="AG38">
        <f t="shared" si="14"/>
        <v>7.5937508351525945E-3</v>
      </c>
      <c r="AH38">
        <f t="shared" si="14"/>
        <v>7.4663991879559506E-3</v>
      </c>
      <c r="AI38">
        <f t="shared" si="14"/>
        <v>7.3421574939223078E-3</v>
      </c>
      <c r="AJ38">
        <f t="shared" si="12"/>
        <v>7.221025753051653E-3</v>
      </c>
      <c r="AK38">
        <f t="shared" si="12"/>
        <v>7.1030039653439845E-3</v>
      </c>
      <c r="AL38">
        <f t="shared" si="12"/>
        <v>6.988092130799318E-3</v>
      </c>
      <c r="AM38">
        <f t="shared" si="12"/>
        <v>6.8762902494176378E-3</v>
      </c>
      <c r="AN38">
        <f t="shared" si="12"/>
        <v>6.7675983211989456E-3</v>
      </c>
      <c r="AO38">
        <f t="shared" si="12"/>
        <v>6.6620163461432536E-3</v>
      </c>
      <c r="AP38">
        <f t="shared" si="12"/>
        <v>6.5595443242505488E-3</v>
      </c>
      <c r="AQ38">
        <f t="shared" si="12"/>
        <v>6.460182255520832E-3</v>
      </c>
      <c r="AR38">
        <f t="shared" si="16"/>
        <v>6.3639301399541093E-3</v>
      </c>
      <c r="AS38">
        <f t="shared" si="16"/>
        <v>6.270787977550373E-3</v>
      </c>
      <c r="AT38">
        <f t="shared" si="16"/>
        <v>6.1807557683096377E-3</v>
      </c>
      <c r="AU38">
        <f t="shared" si="16"/>
        <v>6.0938335122318905E-3</v>
      </c>
      <c r="AV38">
        <f t="shared" si="16"/>
        <v>6.0100212093171295E-3</v>
      </c>
      <c r="AW38">
        <f t="shared" si="16"/>
        <v>5.9293188595653636E-3</v>
      </c>
      <c r="AX38">
        <f t="shared" si="16"/>
        <v>5.8517264629765909E-3</v>
      </c>
      <c r="AY38">
        <f t="shared" si="16"/>
        <v>5.7772440195508062E-3</v>
      </c>
      <c r="AZ38">
        <f t="shared" si="16"/>
        <v>5.7058715292880157E-3</v>
      </c>
      <c r="BA38">
        <f t="shared" si="16"/>
        <v>5.6376089921882115E-3</v>
      </c>
      <c r="BB38">
        <f t="shared" si="16"/>
        <v>5.5724564082514014E-3</v>
      </c>
      <c r="BC38">
        <f t="shared" si="16"/>
        <v>5.5104137774775862E-3</v>
      </c>
      <c r="BD38">
        <f t="shared" si="16"/>
        <v>5.4514810998667574E-3</v>
      </c>
      <c r="BE38">
        <f t="shared" si="16"/>
        <v>5.3956583754189227E-3</v>
      </c>
      <c r="BF38">
        <f t="shared" si="16"/>
        <v>5.342945604134083E-3</v>
      </c>
      <c r="BG38">
        <f t="shared" si="16"/>
        <v>5.2933427860122305E-3</v>
      </c>
      <c r="BH38">
        <f t="shared" si="15"/>
        <v>5.2468499210533643E-3</v>
      </c>
      <c r="BI38">
        <f t="shared" si="15"/>
        <v>5.2034670092574922E-3</v>
      </c>
      <c r="BJ38">
        <f t="shared" si="15"/>
        <v>5.163194050624615E-3</v>
      </c>
      <c r="BK38">
        <f t="shared" si="15"/>
        <v>5.1260310451547312E-3</v>
      </c>
      <c r="BL38">
        <f t="shared" si="15"/>
        <v>5.0919779928478345E-3</v>
      </c>
      <c r="BM38">
        <f t="shared" si="15"/>
        <v>5.0610348937039328E-3</v>
      </c>
      <c r="BN38">
        <f t="shared" si="15"/>
        <v>5.0332017477230182E-3</v>
      </c>
      <c r="BO38">
        <f t="shared" si="13"/>
        <v>5.0084785549050969E-3</v>
      </c>
      <c r="BP38">
        <f t="shared" si="13"/>
        <v>4.9868653152501706E-3</v>
      </c>
      <c r="BQ38">
        <f t="shared" si="13"/>
        <v>4.9683620287582306E-3</v>
      </c>
      <c r="BR38">
        <f t="shared" si="13"/>
        <v>4.9529686954292787E-3</v>
      </c>
      <c r="BS38">
        <f t="shared" si="13"/>
        <v>4.9406853152633269E-3</v>
      </c>
      <c r="BT38">
        <f t="shared" si="13"/>
        <v>4.9315118882603624E-3</v>
      </c>
      <c r="BU38">
        <f t="shared" si="13"/>
        <v>4.9254484144203858E-3</v>
      </c>
      <c r="BV38">
        <f t="shared" si="13"/>
        <v>4.9224948937434026E-3</v>
      </c>
      <c r="BW38">
        <f t="shared" si="13"/>
        <v>4.9226513262294212E-3</v>
      </c>
      <c r="BX38">
        <f t="shared" si="13"/>
        <v>4.9259177118784192E-3</v>
      </c>
      <c r="BY38">
        <f t="shared" si="13"/>
        <v>4.9322940506904122E-3</v>
      </c>
      <c r="BZ38">
        <f t="shared" si="13"/>
        <v>4.9417803426653915E-3</v>
      </c>
      <c r="CA38">
        <f t="shared" si="13"/>
        <v>4.9543765878033727E-3</v>
      </c>
      <c r="CB38">
        <f t="shared" si="13"/>
        <v>4.9700827861043333E-3</v>
      </c>
      <c r="CC38">
        <f t="shared" si="13"/>
        <v>4.9888989375682959E-3</v>
      </c>
      <c r="CD38">
        <f t="shared" si="13"/>
        <v>5.0108250421952378E-3</v>
      </c>
      <c r="CE38">
        <f t="shared" si="10"/>
        <v>5.0358610999851876E-3</v>
      </c>
      <c r="CF38">
        <f t="shared" si="7"/>
        <v>5.0640071109381186E-3</v>
      </c>
      <c r="CG38">
        <f t="shared" si="17"/>
        <v>5.095263075054036E-3</v>
      </c>
      <c r="CH38">
        <f t="shared" si="17"/>
        <v>5.1296289923329543E-3</v>
      </c>
      <c r="CI38">
        <f t="shared" si="17"/>
        <v>5.1671048627748607E-3</v>
      </c>
      <c r="CJ38">
        <f t="shared" si="17"/>
        <v>5.2076906863797612E-3</v>
      </c>
      <c r="CK38">
        <f t="shared" si="17"/>
        <v>5.2513864631476481E-3</v>
      </c>
      <c r="CL38">
        <f t="shared" si="17"/>
        <v>5.298192193078529E-3</v>
      </c>
      <c r="CM38">
        <f t="shared" si="17"/>
        <v>5.348107876172398E-3</v>
      </c>
      <c r="CN38">
        <f t="shared" si="17"/>
        <v>5.4011335124292612E-3</v>
      </c>
      <c r="CO38">
        <f t="shared" si="17"/>
        <v>5.4572691018491184E-3</v>
      </c>
      <c r="CP38">
        <f t="shared" si="17"/>
        <v>5.516514644431955E-3</v>
      </c>
      <c r="CQ38">
        <f t="shared" si="17"/>
        <v>5.5788701401777996E-3</v>
      </c>
      <c r="CR38">
        <f t="shared" si="17"/>
        <v>5.6443355890866253E-3</v>
      </c>
      <c r="CS38">
        <f t="shared" si="17"/>
        <v>5.7129109911584434E-3</v>
      </c>
      <c r="CT38">
        <f t="shared" si="17"/>
        <v>5.7845963463932573E-3</v>
      </c>
      <c r="CU38">
        <f t="shared" si="17"/>
        <v>5.8593916547910654E-3</v>
      </c>
      <c r="CV38">
        <f t="shared" si="17"/>
        <v>5.9372969163518528E-3</v>
      </c>
    </row>
    <row r="39" spans="1:100" x14ac:dyDescent="0.2">
      <c r="A39">
        <v>0.72222220000000004</v>
      </c>
      <c r="B39">
        <f t="shared" si="0"/>
        <v>0.52160490617284005</v>
      </c>
      <c r="C39">
        <v>37.5</v>
      </c>
      <c r="D39">
        <f t="shared" si="1"/>
        <v>1406.25</v>
      </c>
      <c r="E39">
        <f t="shared" si="2"/>
        <v>27.083332500000001</v>
      </c>
      <c r="F39">
        <v>4.9111099999999998E-3</v>
      </c>
      <c r="S39">
        <v>33.600000000000101</v>
      </c>
      <c r="T39">
        <f t="shared" si="14"/>
        <v>9.5205711513392799E-3</v>
      </c>
      <c r="U39">
        <f t="shared" si="14"/>
        <v>9.3526948824410212E-3</v>
      </c>
      <c r="V39">
        <f t="shared" si="14"/>
        <v>9.1879285667057567E-3</v>
      </c>
      <c r="W39">
        <f t="shared" si="14"/>
        <v>9.0262722041334863E-3</v>
      </c>
      <c r="X39">
        <f t="shared" si="14"/>
        <v>8.86772579472421E-3</v>
      </c>
      <c r="Y39">
        <f t="shared" si="14"/>
        <v>8.7122893384779139E-3</v>
      </c>
      <c r="Z39">
        <f t="shared" si="14"/>
        <v>8.5599628353946119E-3</v>
      </c>
      <c r="AA39">
        <f t="shared" si="14"/>
        <v>8.4107462854742902E-3</v>
      </c>
      <c r="AB39">
        <f t="shared" si="14"/>
        <v>8.2646396887169765E-3</v>
      </c>
      <c r="AC39">
        <f t="shared" si="14"/>
        <v>8.1216430451226569E-3</v>
      </c>
      <c r="AD39">
        <f t="shared" si="14"/>
        <v>7.9817563546913176E-3</v>
      </c>
      <c r="AE39">
        <f t="shared" si="14"/>
        <v>7.8449796174229723E-3</v>
      </c>
      <c r="AF39">
        <f t="shared" si="14"/>
        <v>7.7113128333176212E-3</v>
      </c>
      <c r="AG39">
        <f t="shared" si="14"/>
        <v>7.5807560023752642E-3</v>
      </c>
      <c r="AH39">
        <f t="shared" si="14"/>
        <v>7.4533091245958874E-3</v>
      </c>
      <c r="AI39">
        <f t="shared" si="14"/>
        <v>7.3289721999795117E-3</v>
      </c>
      <c r="AJ39">
        <f t="shared" si="12"/>
        <v>7.2077452285261231E-3</v>
      </c>
      <c r="AK39">
        <f t="shared" si="12"/>
        <v>7.0896282102357209E-3</v>
      </c>
      <c r="AL39">
        <f t="shared" si="12"/>
        <v>6.9746211451083206E-3</v>
      </c>
      <c r="AM39">
        <f t="shared" si="12"/>
        <v>6.8627240331439075E-3</v>
      </c>
      <c r="AN39">
        <f t="shared" si="12"/>
        <v>6.7539368743424815E-3</v>
      </c>
      <c r="AO39">
        <f t="shared" si="12"/>
        <v>6.6482596687040575E-3</v>
      </c>
      <c r="AP39">
        <f t="shared" si="12"/>
        <v>6.5456924162286189E-3</v>
      </c>
      <c r="AQ39">
        <f t="shared" si="12"/>
        <v>6.4462351169161684E-3</v>
      </c>
      <c r="AR39">
        <f t="shared" si="16"/>
        <v>6.349887770766712E-3</v>
      </c>
      <c r="AS39">
        <f t="shared" si="16"/>
        <v>6.2566503777802427E-3</v>
      </c>
      <c r="AT39">
        <f t="shared" si="16"/>
        <v>6.1665229379567746E-3</v>
      </c>
      <c r="AU39">
        <f t="shared" si="16"/>
        <v>6.0795054512962935E-3</v>
      </c>
      <c r="AV39">
        <f t="shared" si="16"/>
        <v>5.9955979177987997E-3</v>
      </c>
      <c r="AW39">
        <f t="shared" si="16"/>
        <v>5.9148003374643E-3</v>
      </c>
      <c r="AX39">
        <f t="shared" si="16"/>
        <v>5.8371127102927944E-3</v>
      </c>
      <c r="AY39">
        <f t="shared" si="16"/>
        <v>5.762535036284276E-3</v>
      </c>
      <c r="AZ39">
        <f t="shared" si="16"/>
        <v>5.6910673154387517E-3</v>
      </c>
      <c r="BA39">
        <f t="shared" si="16"/>
        <v>5.6227095477562146E-3</v>
      </c>
      <c r="BB39">
        <f t="shared" si="16"/>
        <v>5.5574617332366716E-3</v>
      </c>
      <c r="BC39">
        <f t="shared" si="16"/>
        <v>5.4953238718801227E-3</v>
      </c>
      <c r="BD39">
        <f t="shared" si="16"/>
        <v>5.4362959636865609E-3</v>
      </c>
      <c r="BE39">
        <f t="shared" si="16"/>
        <v>5.3803780086559934E-3</v>
      </c>
      <c r="BF39">
        <f t="shared" si="16"/>
        <v>5.3275700067884199E-3</v>
      </c>
      <c r="BG39">
        <f t="shared" si="16"/>
        <v>5.2778719580838336E-3</v>
      </c>
      <c r="BH39">
        <f t="shared" si="15"/>
        <v>5.2312838625422345E-3</v>
      </c>
      <c r="BI39">
        <f t="shared" si="15"/>
        <v>5.1878057201636294E-3</v>
      </c>
      <c r="BJ39">
        <f t="shared" si="15"/>
        <v>5.1474375309480186E-3</v>
      </c>
      <c r="BK39">
        <f t="shared" si="15"/>
        <v>5.1101792948954018E-3</v>
      </c>
      <c r="BL39">
        <f t="shared" si="15"/>
        <v>5.0760310120057722E-3</v>
      </c>
      <c r="BM39">
        <f t="shared" si="15"/>
        <v>5.0449926822791358E-3</v>
      </c>
      <c r="BN39">
        <f t="shared" si="15"/>
        <v>5.0170643057154875E-3</v>
      </c>
      <c r="BO39">
        <f t="shared" si="13"/>
        <v>4.9922458823148342E-3</v>
      </c>
      <c r="BP39">
        <f t="shared" si="13"/>
        <v>4.9705374120771742E-3</v>
      </c>
      <c r="BQ39">
        <f t="shared" si="13"/>
        <v>4.9519388950025013E-3</v>
      </c>
      <c r="BR39">
        <f t="shared" si="13"/>
        <v>4.9364503310908156E-3</v>
      </c>
      <c r="BS39">
        <f t="shared" si="13"/>
        <v>4.9240717203421309E-3</v>
      </c>
      <c r="BT39">
        <f t="shared" si="13"/>
        <v>4.9148030627564334E-3</v>
      </c>
      <c r="BU39">
        <f t="shared" si="13"/>
        <v>4.9086443583337223E-3</v>
      </c>
      <c r="BV39">
        <f t="shared" si="13"/>
        <v>4.9055956070740061E-3</v>
      </c>
      <c r="BW39">
        <f t="shared" si="13"/>
        <v>4.9056568089772918E-3</v>
      </c>
      <c r="BX39">
        <f t="shared" si="13"/>
        <v>4.9088279640435561E-3</v>
      </c>
      <c r="BY39">
        <f t="shared" si="13"/>
        <v>4.9151090722728153E-3</v>
      </c>
      <c r="BZ39">
        <f t="shared" si="13"/>
        <v>4.9245001336650617E-3</v>
      </c>
      <c r="CA39">
        <f t="shared" si="13"/>
        <v>4.9370011482203092E-3</v>
      </c>
      <c r="CB39">
        <f t="shared" si="13"/>
        <v>4.9526121159385369E-3</v>
      </c>
      <c r="CC39">
        <f t="shared" si="13"/>
        <v>4.9713330368197656E-3</v>
      </c>
      <c r="CD39">
        <f t="shared" si="13"/>
        <v>4.9931639108639746E-3</v>
      </c>
      <c r="CE39">
        <f t="shared" si="10"/>
        <v>5.0181047380711916E-3</v>
      </c>
      <c r="CF39">
        <f t="shared" si="7"/>
        <v>5.0461555184413889E-3</v>
      </c>
      <c r="CG39">
        <f t="shared" si="17"/>
        <v>5.0773162519745733E-3</v>
      </c>
      <c r="CH39">
        <f t="shared" si="17"/>
        <v>5.1115869386707587E-3</v>
      </c>
      <c r="CI39">
        <f t="shared" si="17"/>
        <v>5.1489675785299314E-3</v>
      </c>
      <c r="CJ39">
        <f t="shared" si="17"/>
        <v>5.1894581715520981E-3</v>
      </c>
      <c r="CK39">
        <f t="shared" si="17"/>
        <v>5.2330587177372521E-3</v>
      </c>
      <c r="CL39">
        <f t="shared" si="17"/>
        <v>5.2797692170854001E-3</v>
      </c>
      <c r="CM39">
        <f t="shared" si="17"/>
        <v>5.3295896695965354E-3</v>
      </c>
      <c r="CN39">
        <f t="shared" si="17"/>
        <v>5.3825200752706647E-3</v>
      </c>
      <c r="CO39">
        <f t="shared" si="17"/>
        <v>5.4385604341077882E-3</v>
      </c>
      <c r="CP39">
        <f t="shared" si="17"/>
        <v>5.4977107461078919E-3</v>
      </c>
      <c r="CQ39">
        <f t="shared" si="17"/>
        <v>5.5599710112710036E-3</v>
      </c>
      <c r="CR39">
        <f t="shared" si="17"/>
        <v>5.6253412295970955E-3</v>
      </c>
      <c r="CS39">
        <f t="shared" si="17"/>
        <v>5.6938214010861816E-3</v>
      </c>
      <c r="CT39">
        <f t="shared" si="17"/>
        <v>5.7654115257382618E-3</v>
      </c>
      <c r="CU39">
        <f t="shared" si="17"/>
        <v>5.840111603553336E-3</v>
      </c>
      <c r="CV39">
        <f t="shared" si="17"/>
        <v>5.9179216345313906E-3</v>
      </c>
    </row>
    <row r="40" spans="1:100" x14ac:dyDescent="0.2">
      <c r="A40">
        <v>0.81111109999999997</v>
      </c>
      <c r="B40">
        <f t="shared" si="0"/>
        <v>0.65790121654320999</v>
      </c>
      <c r="C40">
        <v>37.5</v>
      </c>
      <c r="D40">
        <f t="shared" si="1"/>
        <v>1406.25</v>
      </c>
      <c r="E40">
        <f t="shared" si="2"/>
        <v>30.416666249999999</v>
      </c>
      <c r="F40">
        <v>5.8592599999999998E-3</v>
      </c>
      <c r="S40">
        <v>33.700000000000102</v>
      </c>
      <c r="T40">
        <f t="shared" si="14"/>
        <v>9.5097147698643223E-3</v>
      </c>
      <c r="U40">
        <f t="shared" si="14"/>
        <v>9.3417432703833299E-3</v>
      </c>
      <c r="V40">
        <f t="shared" si="14"/>
        <v>9.1768817240653333E-3</v>
      </c>
      <c r="W40">
        <f t="shared" si="14"/>
        <v>9.0151301309103291E-3</v>
      </c>
      <c r="X40">
        <f t="shared" si="14"/>
        <v>8.8564884909183191E-3</v>
      </c>
      <c r="Y40">
        <f t="shared" si="14"/>
        <v>8.700956804089291E-3</v>
      </c>
      <c r="Z40">
        <f t="shared" si="14"/>
        <v>8.5485350704232552E-3</v>
      </c>
      <c r="AA40">
        <f t="shared" si="14"/>
        <v>8.3992232899201998E-3</v>
      </c>
      <c r="AB40">
        <f t="shared" si="14"/>
        <v>8.253021462580154E-3</v>
      </c>
      <c r="AC40">
        <f t="shared" si="14"/>
        <v>8.1099295884031006E-3</v>
      </c>
      <c r="AD40">
        <f t="shared" si="14"/>
        <v>7.9699476673890275E-3</v>
      </c>
      <c r="AE40">
        <f t="shared" si="14"/>
        <v>7.8330756995379485E-3</v>
      </c>
      <c r="AF40">
        <f t="shared" si="14"/>
        <v>7.6993136848498645E-3</v>
      </c>
      <c r="AG40">
        <f t="shared" si="14"/>
        <v>7.5686616233247746E-3</v>
      </c>
      <c r="AH40">
        <f t="shared" si="14"/>
        <v>7.4411195149626649E-3</v>
      </c>
      <c r="AI40">
        <f t="shared" si="14"/>
        <v>7.3166873597635554E-3</v>
      </c>
      <c r="AJ40">
        <f t="shared" si="12"/>
        <v>7.195365157727434E-3</v>
      </c>
      <c r="AK40">
        <f t="shared" si="12"/>
        <v>7.0771529088542989E-3</v>
      </c>
      <c r="AL40">
        <f t="shared" si="12"/>
        <v>6.9620506131441657E-3</v>
      </c>
      <c r="AM40">
        <f t="shared" si="12"/>
        <v>6.8500582705970196E-3</v>
      </c>
      <c r="AN40">
        <f t="shared" si="12"/>
        <v>6.7411758812128599E-3</v>
      </c>
      <c r="AO40">
        <f t="shared" si="12"/>
        <v>6.6354034449917021E-3</v>
      </c>
      <c r="AP40">
        <f t="shared" si="12"/>
        <v>6.5327409619335315E-3</v>
      </c>
      <c r="AQ40">
        <f t="shared" si="12"/>
        <v>6.4331884320383472E-3</v>
      </c>
      <c r="AR40">
        <f t="shared" si="16"/>
        <v>6.336745855306157E-3</v>
      </c>
      <c r="AS40">
        <f t="shared" si="16"/>
        <v>6.2434132317369558E-3</v>
      </c>
      <c r="AT40">
        <f t="shared" si="16"/>
        <v>6.1531905613307538E-3</v>
      </c>
      <c r="AU40">
        <f t="shared" si="16"/>
        <v>6.0660778440875399E-3</v>
      </c>
      <c r="AV40">
        <f t="shared" si="16"/>
        <v>5.9820750800073123E-3</v>
      </c>
      <c r="AW40">
        <f t="shared" si="16"/>
        <v>5.9011822690900797E-3</v>
      </c>
      <c r="AX40">
        <f t="shared" si="16"/>
        <v>5.8233994113358403E-3</v>
      </c>
      <c r="AY40">
        <f t="shared" si="16"/>
        <v>5.748726506744589E-3</v>
      </c>
      <c r="AZ40">
        <f t="shared" si="16"/>
        <v>5.6771635553163318E-3</v>
      </c>
      <c r="BA40">
        <f t="shared" si="16"/>
        <v>5.6087105570510609E-3</v>
      </c>
      <c r="BB40">
        <f t="shared" si="16"/>
        <v>5.543367511948785E-3</v>
      </c>
      <c r="BC40">
        <f t="shared" si="16"/>
        <v>5.4811344200095024E-3</v>
      </c>
      <c r="BD40">
        <f t="shared" si="16"/>
        <v>5.4220112812332077E-3</v>
      </c>
      <c r="BE40">
        <f t="shared" si="16"/>
        <v>5.3659980956199064E-3</v>
      </c>
      <c r="BF40">
        <f t="shared" si="16"/>
        <v>5.3130948631696E-3</v>
      </c>
      <c r="BG40">
        <f t="shared" si="16"/>
        <v>5.2633015838822808E-3</v>
      </c>
      <c r="BH40">
        <f t="shared" si="15"/>
        <v>5.2166182577579479E-3</v>
      </c>
      <c r="BI40">
        <f t="shared" si="15"/>
        <v>5.17304488479661E-3</v>
      </c>
      <c r="BJ40">
        <f t="shared" si="15"/>
        <v>5.1325814649982662E-3</v>
      </c>
      <c r="BK40">
        <f t="shared" si="15"/>
        <v>5.0952279983629157E-3</v>
      </c>
      <c r="BL40">
        <f t="shared" si="15"/>
        <v>5.0609844848905532E-3</v>
      </c>
      <c r="BM40">
        <f t="shared" si="15"/>
        <v>5.029850924581184E-3</v>
      </c>
      <c r="BN40">
        <f t="shared" si="15"/>
        <v>5.0018273174348028E-3</v>
      </c>
      <c r="BO40">
        <f t="shared" si="13"/>
        <v>4.9769136634514157E-3</v>
      </c>
      <c r="BP40">
        <f t="shared" si="13"/>
        <v>4.9551099626310218E-3</v>
      </c>
      <c r="BQ40">
        <f t="shared" si="13"/>
        <v>4.9364162149736161E-3</v>
      </c>
      <c r="BR40">
        <f t="shared" si="13"/>
        <v>4.9208324204791966E-3</v>
      </c>
      <c r="BS40">
        <f t="shared" si="13"/>
        <v>4.908358579147779E-3</v>
      </c>
      <c r="BT40">
        <f t="shared" si="13"/>
        <v>4.8989946909793487E-3</v>
      </c>
      <c r="BU40">
        <f t="shared" si="13"/>
        <v>4.8927407559739046E-3</v>
      </c>
      <c r="BV40">
        <f t="shared" si="13"/>
        <v>4.8895967741314555E-3</v>
      </c>
      <c r="BW40">
        <f t="shared" si="13"/>
        <v>4.8895627454520075E-3</v>
      </c>
      <c r="BX40">
        <f t="shared" si="13"/>
        <v>4.8926386699355388E-3</v>
      </c>
      <c r="BY40">
        <f t="shared" si="13"/>
        <v>4.8988245475820643E-3</v>
      </c>
      <c r="BZ40">
        <f t="shared" si="13"/>
        <v>4.9081203783915778E-3</v>
      </c>
      <c r="CA40">
        <f t="shared" si="13"/>
        <v>4.9205261623640924E-3</v>
      </c>
      <c r="CB40">
        <f t="shared" si="13"/>
        <v>4.9360418994995872E-3</v>
      </c>
      <c r="CC40">
        <f t="shared" si="13"/>
        <v>4.954667589798083E-3</v>
      </c>
      <c r="CD40">
        <f t="shared" si="13"/>
        <v>4.9764032332595583E-3</v>
      </c>
      <c r="CE40">
        <f t="shared" si="10"/>
        <v>5.0012488298840415E-3</v>
      </c>
      <c r="CF40">
        <f t="shared" si="7"/>
        <v>5.0292043796715067E-3</v>
      </c>
      <c r="CG40">
        <f t="shared" si="17"/>
        <v>5.0602698826219573E-3</v>
      </c>
      <c r="CH40">
        <f t="shared" si="17"/>
        <v>5.094445338735409E-3</v>
      </c>
      <c r="CI40">
        <f t="shared" si="17"/>
        <v>5.1317307480118479E-3</v>
      </c>
      <c r="CJ40">
        <f t="shared" si="17"/>
        <v>5.1721261104512818E-3</v>
      </c>
      <c r="CK40">
        <f t="shared" si="17"/>
        <v>5.2156314260537028E-3</v>
      </c>
      <c r="CL40">
        <f t="shared" si="17"/>
        <v>5.2622466948191171E-3</v>
      </c>
      <c r="CM40">
        <f t="shared" si="17"/>
        <v>5.3119719167475194E-3</v>
      </c>
      <c r="CN40">
        <f t="shared" si="17"/>
        <v>5.3648070918389159E-3</v>
      </c>
      <c r="CO40">
        <f t="shared" si="17"/>
        <v>5.4207522200933065E-3</v>
      </c>
      <c r="CP40">
        <f t="shared" si="17"/>
        <v>5.4798073015106773E-3</v>
      </c>
      <c r="CQ40">
        <f t="shared" si="17"/>
        <v>5.5419723360910552E-3</v>
      </c>
      <c r="CR40">
        <f t="shared" si="17"/>
        <v>5.6072473238344134E-3</v>
      </c>
      <c r="CS40">
        <f t="shared" si="17"/>
        <v>5.6756322647407665E-3</v>
      </c>
      <c r="CT40">
        <f t="shared" si="17"/>
        <v>5.7471271588101138E-3</v>
      </c>
      <c r="CU40">
        <f t="shared" si="17"/>
        <v>5.8217320060424543E-3</v>
      </c>
      <c r="CV40">
        <f t="shared" si="17"/>
        <v>5.8994468064377751E-3</v>
      </c>
    </row>
    <row r="41" spans="1:100" x14ac:dyDescent="0.2">
      <c r="A41">
        <v>0.9</v>
      </c>
      <c r="B41">
        <f t="shared" si="0"/>
        <v>0.81</v>
      </c>
      <c r="C41">
        <v>37.5</v>
      </c>
      <c r="D41">
        <f t="shared" si="1"/>
        <v>1406.25</v>
      </c>
      <c r="E41">
        <f t="shared" si="2"/>
        <v>33.75</v>
      </c>
      <c r="F41">
        <v>4.73333E-3</v>
      </c>
      <c r="S41">
        <v>33.799999999999997</v>
      </c>
      <c r="T41">
        <f t="shared" si="14"/>
        <v>9.4997588421161985E-3</v>
      </c>
      <c r="U41">
        <f t="shared" si="14"/>
        <v>9.3316921120524723E-3</v>
      </c>
      <c r="V41">
        <f t="shared" si="14"/>
        <v>9.1667353351517419E-3</v>
      </c>
      <c r="W41">
        <f t="shared" si="14"/>
        <v>9.0048885114140057E-3</v>
      </c>
      <c r="X41">
        <f t="shared" si="14"/>
        <v>8.8461516408392619E-3</v>
      </c>
      <c r="Y41">
        <f t="shared" si="14"/>
        <v>8.6905247234275E-3</v>
      </c>
      <c r="Z41">
        <f t="shared" si="14"/>
        <v>8.5380077591787323E-3</v>
      </c>
      <c r="AA41">
        <f t="shared" si="14"/>
        <v>8.3886007480929448E-3</v>
      </c>
      <c r="AB41">
        <f t="shared" si="14"/>
        <v>8.2423036901701635E-3</v>
      </c>
      <c r="AC41">
        <f t="shared" si="14"/>
        <v>8.0991165854103781E-3</v>
      </c>
      <c r="AD41">
        <f t="shared" si="14"/>
        <v>7.959039433813573E-3</v>
      </c>
      <c r="AE41">
        <f t="shared" si="14"/>
        <v>7.8220722353797602E-3</v>
      </c>
      <c r="AF41">
        <f t="shared" si="14"/>
        <v>7.6882149901089433E-3</v>
      </c>
      <c r="AG41">
        <f t="shared" si="14"/>
        <v>7.5574676980011196E-3</v>
      </c>
      <c r="AH41">
        <f t="shared" si="14"/>
        <v>7.4298303590562761E-3</v>
      </c>
      <c r="AI41">
        <f t="shared" si="14"/>
        <v>7.3053029732744346E-3</v>
      </c>
      <c r="AJ41">
        <f t="shared" si="12"/>
        <v>7.1838855406555794E-3</v>
      </c>
      <c r="AK41">
        <f t="shared" si="12"/>
        <v>7.0655780611997114E-3</v>
      </c>
      <c r="AL41">
        <f t="shared" si="12"/>
        <v>6.9503805349068453E-3</v>
      </c>
      <c r="AM41">
        <f t="shared" si="12"/>
        <v>6.8382929617769655E-3</v>
      </c>
      <c r="AN41">
        <f t="shared" si="12"/>
        <v>6.7293153418100738E-3</v>
      </c>
      <c r="AO41">
        <f t="shared" si="12"/>
        <v>6.6234476750061822E-3</v>
      </c>
      <c r="AP41">
        <f t="shared" si="12"/>
        <v>6.5206899613652778E-3</v>
      </c>
      <c r="AQ41">
        <f t="shared" si="12"/>
        <v>6.4210422008873606E-3</v>
      </c>
      <c r="AR41">
        <f t="shared" si="16"/>
        <v>6.3245043935724384E-3</v>
      </c>
      <c r="AS41">
        <f t="shared" si="16"/>
        <v>6.2310765394205034E-3</v>
      </c>
      <c r="AT41">
        <f t="shared" si="16"/>
        <v>6.1407586384315685E-3</v>
      </c>
      <c r="AU41">
        <f t="shared" si="16"/>
        <v>6.0535506906056209E-3</v>
      </c>
      <c r="AV41">
        <f t="shared" si="16"/>
        <v>5.9694526959426604E-3</v>
      </c>
      <c r="AW41">
        <f t="shared" si="16"/>
        <v>5.8884646544426949E-3</v>
      </c>
      <c r="AX41">
        <f t="shared" si="16"/>
        <v>5.8105865661057226E-3</v>
      </c>
      <c r="AY41">
        <f t="shared" si="16"/>
        <v>5.7358184309317384E-3</v>
      </c>
      <c r="AZ41">
        <f t="shared" si="16"/>
        <v>5.6641602489207474E-3</v>
      </c>
      <c r="BA41">
        <f t="shared" si="16"/>
        <v>5.5956120200727436E-3</v>
      </c>
      <c r="BB41">
        <f t="shared" si="16"/>
        <v>5.5301737443877348E-3</v>
      </c>
      <c r="BC41">
        <f t="shared" si="16"/>
        <v>5.4678454218657193E-3</v>
      </c>
      <c r="BD41">
        <f t="shared" si="16"/>
        <v>5.4086270525066909E-3</v>
      </c>
      <c r="BE41">
        <f t="shared" si="16"/>
        <v>5.3525186363106575E-3</v>
      </c>
      <c r="BF41">
        <f t="shared" si="16"/>
        <v>5.2995201732776174E-3</v>
      </c>
      <c r="BG41">
        <f t="shared" si="16"/>
        <v>5.2496316634075644E-3</v>
      </c>
      <c r="BH41">
        <f t="shared" si="15"/>
        <v>5.2028531067004995E-3</v>
      </c>
      <c r="BI41">
        <f t="shared" si="15"/>
        <v>5.1591845031564278E-3</v>
      </c>
      <c r="BJ41">
        <f t="shared" si="15"/>
        <v>5.1186258527753502E-3</v>
      </c>
      <c r="BK41">
        <f t="shared" si="15"/>
        <v>5.0811771555572677E-3</v>
      </c>
      <c r="BL41">
        <f t="shared" si="15"/>
        <v>5.0468384115021714E-3</v>
      </c>
      <c r="BM41">
        <f t="shared" si="15"/>
        <v>5.0156096206100693E-3</v>
      </c>
      <c r="BN41">
        <f t="shared" si="15"/>
        <v>4.9874907828809552E-3</v>
      </c>
      <c r="BO41">
        <f t="shared" si="13"/>
        <v>4.9624818983148343E-3</v>
      </c>
      <c r="BP41">
        <f t="shared" si="13"/>
        <v>4.9405829669117085E-3</v>
      </c>
      <c r="BQ41">
        <f t="shared" si="13"/>
        <v>4.9217939886715689E-3</v>
      </c>
      <c r="BR41">
        <f t="shared" si="13"/>
        <v>4.9061149635944174E-3</v>
      </c>
      <c r="BS41">
        <f t="shared" si="13"/>
        <v>4.8935458916802661E-3</v>
      </c>
      <c r="BT41">
        <f t="shared" si="13"/>
        <v>4.884086772929102E-3</v>
      </c>
      <c r="BU41">
        <f t="shared" si="13"/>
        <v>4.877737607340925E-3</v>
      </c>
      <c r="BV41">
        <f t="shared" si="13"/>
        <v>4.8744983949157421E-3</v>
      </c>
      <c r="BW41">
        <f t="shared" si="13"/>
        <v>4.8743691356535612E-3</v>
      </c>
      <c r="BX41">
        <f t="shared" si="13"/>
        <v>4.8773498295543597E-3</v>
      </c>
      <c r="BY41">
        <f t="shared" si="13"/>
        <v>4.8834404766181522E-3</v>
      </c>
      <c r="BZ41">
        <f t="shared" si="13"/>
        <v>4.8926410768449329E-3</v>
      </c>
      <c r="CA41">
        <f t="shared" si="13"/>
        <v>4.9049516302347145E-3</v>
      </c>
      <c r="CB41">
        <f t="shared" si="13"/>
        <v>4.9203721367874756E-3</v>
      </c>
      <c r="CC41">
        <f t="shared" si="13"/>
        <v>4.9389025965032377E-3</v>
      </c>
      <c r="CD41">
        <f t="shared" ref="CD41:CS77" si="18">$H$3+$H$4*CD$2+$H$5*CD$2*CD$2+$H$6*$S41+$H$7*$S41*$S41+$H$8*CD$2*$S41</f>
        <v>4.9605430093819809E-3</v>
      </c>
      <c r="CE41">
        <f t="shared" si="18"/>
        <v>4.9852933754237312E-3</v>
      </c>
      <c r="CF41">
        <f t="shared" si="7"/>
        <v>5.0131536946284617E-3</v>
      </c>
      <c r="CG41">
        <f t="shared" si="17"/>
        <v>5.0441239669961804E-3</v>
      </c>
      <c r="CH41">
        <f t="shared" si="17"/>
        <v>5.0782041925268983E-3</v>
      </c>
      <c r="CI41">
        <f t="shared" si="17"/>
        <v>5.1153943712206051E-3</v>
      </c>
      <c r="CJ41">
        <f t="shared" si="17"/>
        <v>5.1556945030773061E-3</v>
      </c>
      <c r="CK41">
        <f t="shared" si="17"/>
        <v>5.1991045880969934E-3</v>
      </c>
      <c r="CL41">
        <f t="shared" si="17"/>
        <v>5.2456246262796748E-3</v>
      </c>
      <c r="CM41">
        <f t="shared" si="17"/>
        <v>5.2952546176253442E-3</v>
      </c>
      <c r="CN41">
        <f t="shared" si="17"/>
        <v>5.3479945621340078E-3</v>
      </c>
      <c r="CO41">
        <f t="shared" si="17"/>
        <v>5.4038444598056646E-3</v>
      </c>
      <c r="CP41">
        <f t="shared" si="17"/>
        <v>5.4628043106403016E-3</v>
      </c>
      <c r="CQ41">
        <f t="shared" si="17"/>
        <v>5.5248741146379466E-3</v>
      </c>
      <c r="CR41">
        <f t="shared" si="17"/>
        <v>5.5900538717985719E-3</v>
      </c>
      <c r="CS41">
        <f t="shared" si="17"/>
        <v>5.6583435821221922E-3</v>
      </c>
      <c r="CT41">
        <f t="shared" si="17"/>
        <v>5.7297432456088057E-3</v>
      </c>
      <c r="CU41">
        <f t="shared" si="17"/>
        <v>5.8042528622584133E-3</v>
      </c>
      <c r="CV41">
        <f t="shared" si="17"/>
        <v>5.881872432071002E-3</v>
      </c>
    </row>
    <row r="42" spans="1:100" x14ac:dyDescent="0.2">
      <c r="S42">
        <v>33.900000000000098</v>
      </c>
      <c r="T42">
        <f t="shared" si="14"/>
        <v>9.4907033680948685E-3</v>
      </c>
      <c r="U42">
        <f t="shared" si="14"/>
        <v>9.3225414074484102E-3</v>
      </c>
      <c r="V42">
        <f t="shared" si="14"/>
        <v>9.1574893999649461E-3</v>
      </c>
      <c r="W42">
        <f t="shared" si="14"/>
        <v>8.9955473456444762E-3</v>
      </c>
      <c r="X42">
        <f t="shared" si="14"/>
        <v>8.8367152444870003E-3</v>
      </c>
      <c r="Y42">
        <f t="shared" si="14"/>
        <v>8.6809930964925047E-3</v>
      </c>
      <c r="Z42">
        <f t="shared" si="14"/>
        <v>8.5283809016610031E-3</v>
      </c>
      <c r="AA42">
        <f t="shared" si="14"/>
        <v>8.3788786599924819E-3</v>
      </c>
      <c r="AB42">
        <f t="shared" si="14"/>
        <v>8.2324863714869686E-3</v>
      </c>
      <c r="AC42">
        <f t="shared" si="14"/>
        <v>8.0892040361444494E-3</v>
      </c>
      <c r="AD42">
        <f t="shared" si="14"/>
        <v>7.9490316539649105E-3</v>
      </c>
      <c r="AE42">
        <f t="shared" si="14"/>
        <v>7.8119692249483657E-3</v>
      </c>
      <c r="AF42">
        <f t="shared" si="14"/>
        <v>7.6780167490948141E-3</v>
      </c>
      <c r="AG42">
        <f t="shared" si="14"/>
        <v>7.5471742264042576E-3</v>
      </c>
      <c r="AH42">
        <f t="shared" si="14"/>
        <v>7.4194416568766812E-3</v>
      </c>
      <c r="AI42">
        <f t="shared" ref="AI42:AX72" si="19">$H$3+$H$4*AI$2+$H$5*AI$2*AI$2+$H$6*$S42+$H$7*$S42*$S42+$H$8*AI$2*$S42</f>
        <v>7.294819040512106E-3</v>
      </c>
      <c r="AJ42">
        <f t="shared" si="19"/>
        <v>7.1733063773105179E-3</v>
      </c>
      <c r="AK42">
        <f t="shared" si="19"/>
        <v>7.0549036672719161E-3</v>
      </c>
      <c r="AL42">
        <f t="shared" si="19"/>
        <v>6.9396109103963162E-3</v>
      </c>
      <c r="AM42">
        <f t="shared" si="19"/>
        <v>6.8274281066837035E-3</v>
      </c>
      <c r="AN42">
        <f t="shared" si="19"/>
        <v>6.718355256134078E-3</v>
      </c>
      <c r="AO42">
        <f t="shared" si="19"/>
        <v>6.6123923587474535E-3</v>
      </c>
      <c r="AP42">
        <f t="shared" si="19"/>
        <v>6.5095394145238163E-3</v>
      </c>
      <c r="AQ42">
        <f t="shared" si="19"/>
        <v>6.4097964234631662E-3</v>
      </c>
      <c r="AR42">
        <f t="shared" si="16"/>
        <v>6.3131633855655102E-3</v>
      </c>
      <c r="AS42">
        <f t="shared" si="16"/>
        <v>6.2196403008308414E-3</v>
      </c>
      <c r="AT42">
        <f t="shared" si="16"/>
        <v>6.1292271692591736E-3</v>
      </c>
      <c r="AU42">
        <f t="shared" si="16"/>
        <v>6.0419239908504931E-3</v>
      </c>
      <c r="AV42">
        <f t="shared" si="16"/>
        <v>5.9577307656047988E-3</v>
      </c>
      <c r="AW42">
        <f t="shared" si="16"/>
        <v>5.8766474935220995E-3</v>
      </c>
      <c r="AX42">
        <f t="shared" si="16"/>
        <v>5.7986741746023944E-3</v>
      </c>
      <c r="AY42">
        <f t="shared" si="16"/>
        <v>5.7238108088456764E-3</v>
      </c>
      <c r="AZ42">
        <f t="shared" si="16"/>
        <v>5.6520573962519525E-3</v>
      </c>
      <c r="BA42">
        <f t="shared" si="16"/>
        <v>5.583413936821215E-3</v>
      </c>
      <c r="BB42">
        <f t="shared" si="16"/>
        <v>5.5178804305534724E-3</v>
      </c>
      <c r="BC42">
        <f t="shared" si="16"/>
        <v>5.4554568774487239E-3</v>
      </c>
      <c r="BD42">
        <f t="shared" si="16"/>
        <v>5.3961432775069627E-3</v>
      </c>
      <c r="BE42">
        <f t="shared" si="16"/>
        <v>5.3399396307281955E-3</v>
      </c>
      <c r="BF42">
        <f t="shared" si="16"/>
        <v>5.2868459371124225E-3</v>
      </c>
      <c r="BG42">
        <f t="shared" si="16"/>
        <v>5.2368621966596366E-3</v>
      </c>
      <c r="BH42">
        <f t="shared" si="15"/>
        <v>5.1899884093698379E-3</v>
      </c>
      <c r="BI42">
        <f t="shared" si="15"/>
        <v>5.1462245752430334E-3</v>
      </c>
      <c r="BJ42">
        <f t="shared" si="15"/>
        <v>5.1055706942792229E-3</v>
      </c>
      <c r="BK42">
        <f t="shared" si="15"/>
        <v>5.0680267664784066E-3</v>
      </c>
      <c r="BL42">
        <f t="shared" si="15"/>
        <v>5.0335927918405765E-3</v>
      </c>
      <c r="BM42">
        <f t="shared" si="15"/>
        <v>5.0022687703657415E-3</v>
      </c>
      <c r="BN42">
        <f t="shared" si="15"/>
        <v>4.9740547020538936E-3</v>
      </c>
      <c r="BO42">
        <f t="shared" ref="BO42:CD57" si="20">$H$3+$H$4*BO$2+$H$5*BO$2*BO$2+$H$6*$S42+$H$7*$S42*$S42+$H$8*BO$2*$S42</f>
        <v>4.9489505869050399E-3</v>
      </c>
      <c r="BP42">
        <f t="shared" si="20"/>
        <v>4.9269564249191803E-3</v>
      </c>
      <c r="BQ42">
        <f t="shared" si="20"/>
        <v>4.9080722160963078E-3</v>
      </c>
      <c r="BR42">
        <f t="shared" si="20"/>
        <v>4.8922979604364225E-3</v>
      </c>
      <c r="BS42">
        <f t="shared" si="20"/>
        <v>4.8796336579395375E-3</v>
      </c>
      <c r="BT42">
        <f t="shared" si="20"/>
        <v>4.8700793086056404E-3</v>
      </c>
      <c r="BU42">
        <f t="shared" si="20"/>
        <v>4.8636349124347306E-3</v>
      </c>
      <c r="BV42">
        <f t="shared" si="20"/>
        <v>4.8603004694268148E-3</v>
      </c>
      <c r="BW42">
        <f t="shared" si="20"/>
        <v>4.8600759795819001E-3</v>
      </c>
      <c r="BX42">
        <f t="shared" si="20"/>
        <v>4.8629614428999657E-3</v>
      </c>
      <c r="BY42">
        <f t="shared" si="20"/>
        <v>4.8689568593810253E-3</v>
      </c>
      <c r="BZ42">
        <f t="shared" si="20"/>
        <v>4.8780622290250713E-3</v>
      </c>
      <c r="CA42">
        <f t="shared" si="20"/>
        <v>4.8902775518321201E-3</v>
      </c>
      <c r="CB42">
        <f t="shared" si="20"/>
        <v>4.9056028278021482E-3</v>
      </c>
      <c r="CC42">
        <f t="shared" si="20"/>
        <v>4.9240380569351774E-3</v>
      </c>
      <c r="CD42">
        <f t="shared" si="20"/>
        <v>4.9455832392311869E-3</v>
      </c>
      <c r="CE42">
        <f t="shared" si="18"/>
        <v>4.9702383746902034E-3</v>
      </c>
      <c r="CF42">
        <f t="shared" si="18"/>
        <v>4.9980034633122011E-3</v>
      </c>
      <c r="CG42">
        <f t="shared" si="17"/>
        <v>5.0288785050971851E-3</v>
      </c>
      <c r="CH42">
        <f t="shared" si="17"/>
        <v>5.062863500045171E-3</v>
      </c>
      <c r="CI42">
        <f t="shared" si="17"/>
        <v>5.0999584481561441E-3</v>
      </c>
      <c r="CJ42">
        <f t="shared" si="17"/>
        <v>5.1401633494301113E-3</v>
      </c>
      <c r="CK42">
        <f t="shared" si="17"/>
        <v>5.1834782038670656E-3</v>
      </c>
      <c r="CL42">
        <f t="shared" si="17"/>
        <v>5.2299030114670141E-3</v>
      </c>
      <c r="CM42">
        <f t="shared" si="17"/>
        <v>5.2794377722299498E-3</v>
      </c>
      <c r="CN42">
        <f t="shared" si="17"/>
        <v>5.3320824861558796E-3</v>
      </c>
      <c r="CO42">
        <f t="shared" si="17"/>
        <v>5.3878371532448035E-3</v>
      </c>
      <c r="CP42">
        <f t="shared" si="17"/>
        <v>5.4467017734967076E-3</v>
      </c>
      <c r="CQ42">
        <f t="shared" si="17"/>
        <v>5.5086763469116198E-3</v>
      </c>
      <c r="CR42">
        <f t="shared" si="17"/>
        <v>5.5737608734895113E-3</v>
      </c>
      <c r="CS42">
        <f t="shared" si="17"/>
        <v>5.6419553532303978E-3</v>
      </c>
      <c r="CT42">
        <f t="shared" si="17"/>
        <v>5.7132597861342784E-3</v>
      </c>
      <c r="CU42">
        <f t="shared" si="17"/>
        <v>5.7876741722011531E-3</v>
      </c>
      <c r="CV42">
        <f t="shared" si="17"/>
        <v>5.8651985114310072E-3</v>
      </c>
    </row>
    <row r="43" spans="1:100" x14ac:dyDescent="0.2">
      <c r="S43">
        <v>34.000000000000099</v>
      </c>
      <c r="T43">
        <f t="shared" ref="T43:AI58" si="21">$H$3+$H$4*T$2+$H$5*T$2*T$2+$H$6*$S43+$H$7*$S43*$S43+$H$8*T$2*$S43</f>
        <v>9.4825483478003653E-3</v>
      </c>
      <c r="U43">
        <f t="shared" si="21"/>
        <v>9.314291156571175E-3</v>
      </c>
      <c r="V43">
        <f t="shared" si="21"/>
        <v>9.1491439185049771E-3</v>
      </c>
      <c r="W43">
        <f t="shared" si="21"/>
        <v>8.9871066336017734E-3</v>
      </c>
      <c r="X43">
        <f t="shared" si="21"/>
        <v>8.8281793018615655E-3</v>
      </c>
      <c r="Y43">
        <f t="shared" si="21"/>
        <v>8.6723619232843361E-3</v>
      </c>
      <c r="Z43">
        <f t="shared" si="21"/>
        <v>8.5196544978701008E-3</v>
      </c>
      <c r="AA43">
        <f t="shared" si="21"/>
        <v>8.3700570256188458E-3</v>
      </c>
      <c r="AB43">
        <f t="shared" si="21"/>
        <v>8.2235695065306005E-3</v>
      </c>
      <c r="AC43">
        <f t="shared" si="21"/>
        <v>8.0801919406053475E-3</v>
      </c>
      <c r="AD43">
        <f t="shared" si="21"/>
        <v>7.9399243278430748E-3</v>
      </c>
      <c r="AE43">
        <f t="shared" si="21"/>
        <v>7.8027666682437971E-3</v>
      </c>
      <c r="AF43">
        <f t="shared" si="21"/>
        <v>7.6687189618075127E-3</v>
      </c>
      <c r="AG43">
        <f t="shared" si="21"/>
        <v>7.5377812085342232E-3</v>
      </c>
      <c r="AH43">
        <f t="shared" si="21"/>
        <v>7.4099534084239131E-3</v>
      </c>
      <c r="AI43">
        <f t="shared" si="21"/>
        <v>7.2852355614766049E-3</v>
      </c>
      <c r="AJ43">
        <f t="shared" si="19"/>
        <v>7.1636276676922831E-3</v>
      </c>
      <c r="AK43">
        <f t="shared" si="19"/>
        <v>7.0451297270709493E-3</v>
      </c>
      <c r="AL43">
        <f t="shared" si="19"/>
        <v>6.9297417396126156E-3</v>
      </c>
      <c r="AM43">
        <f t="shared" si="19"/>
        <v>6.81746370531727E-3</v>
      </c>
      <c r="AN43">
        <f t="shared" si="19"/>
        <v>6.7082956241849108E-3</v>
      </c>
      <c r="AO43">
        <f t="shared" si="19"/>
        <v>6.6022374962155534E-3</v>
      </c>
      <c r="AP43">
        <f t="shared" si="19"/>
        <v>6.4992893214091824E-3</v>
      </c>
      <c r="AQ43">
        <f t="shared" si="19"/>
        <v>6.3994510997657985E-3</v>
      </c>
      <c r="AR43">
        <f t="shared" si="16"/>
        <v>6.3027228312854096E-3</v>
      </c>
      <c r="AS43">
        <f t="shared" si="16"/>
        <v>6.2091045159680079E-3</v>
      </c>
      <c r="AT43">
        <f t="shared" si="16"/>
        <v>6.1185961538136064E-3</v>
      </c>
      <c r="AU43">
        <f t="shared" si="16"/>
        <v>6.0311977448221929E-3</v>
      </c>
      <c r="AV43">
        <f t="shared" si="16"/>
        <v>5.9469092889937658E-3</v>
      </c>
      <c r="AW43">
        <f t="shared" si="16"/>
        <v>5.8657307863283336E-3</v>
      </c>
      <c r="AX43">
        <f t="shared" si="16"/>
        <v>5.7876622368258947E-3</v>
      </c>
      <c r="AY43">
        <f t="shared" si="16"/>
        <v>5.7127036404864438E-3</v>
      </c>
      <c r="AZ43">
        <f t="shared" si="16"/>
        <v>5.640854997309987E-3</v>
      </c>
      <c r="BA43">
        <f t="shared" si="16"/>
        <v>5.5721163072965166E-3</v>
      </c>
      <c r="BB43">
        <f t="shared" si="16"/>
        <v>5.5064875704460402E-3</v>
      </c>
      <c r="BC43">
        <f t="shared" si="16"/>
        <v>5.4439687867585589E-3</v>
      </c>
      <c r="BD43">
        <f t="shared" si="16"/>
        <v>5.3845599562340639E-3</v>
      </c>
      <c r="BE43">
        <f t="shared" si="16"/>
        <v>5.3282610788725638E-3</v>
      </c>
      <c r="BF43">
        <f t="shared" si="16"/>
        <v>5.275072154674057E-3</v>
      </c>
      <c r="BG43">
        <f t="shared" ref="BG43:BN77" si="22">$H$3+$H$4*BG$2+$H$5*BG$2*BG$2+$H$6*$S43+$H$7*$S43*$S43+$H$8*BG$2*$S43</f>
        <v>5.2249931836385382E-3</v>
      </c>
      <c r="BH43">
        <f t="shared" si="22"/>
        <v>5.1780241657660058E-3</v>
      </c>
      <c r="BI43">
        <f t="shared" si="22"/>
        <v>5.1341651010564683E-3</v>
      </c>
      <c r="BJ43">
        <f t="shared" si="22"/>
        <v>5.0934159895099241E-3</v>
      </c>
      <c r="BK43">
        <f t="shared" si="22"/>
        <v>5.0557768311263749E-3</v>
      </c>
      <c r="BL43">
        <f t="shared" si="22"/>
        <v>5.0212476259058119E-3</v>
      </c>
      <c r="BM43">
        <f t="shared" si="22"/>
        <v>4.989828373848244E-3</v>
      </c>
      <c r="BN43">
        <f t="shared" si="22"/>
        <v>4.9615190749536624E-3</v>
      </c>
      <c r="BO43">
        <f t="shared" si="20"/>
        <v>4.9363197292220757E-3</v>
      </c>
      <c r="BP43">
        <f t="shared" si="20"/>
        <v>4.9142303366534832E-3</v>
      </c>
      <c r="BQ43">
        <f t="shared" si="20"/>
        <v>4.895250897247877E-3</v>
      </c>
      <c r="BR43">
        <f t="shared" si="20"/>
        <v>4.8793814110052579E-3</v>
      </c>
      <c r="BS43">
        <f t="shared" si="20"/>
        <v>4.8666218779256408E-3</v>
      </c>
      <c r="BT43">
        <f t="shared" si="20"/>
        <v>4.8569722980090109E-3</v>
      </c>
      <c r="BU43">
        <f t="shared" si="20"/>
        <v>4.8504326712553673E-3</v>
      </c>
      <c r="BV43">
        <f t="shared" si="20"/>
        <v>4.8470029976647178E-3</v>
      </c>
      <c r="BW43">
        <f t="shared" si="20"/>
        <v>4.8466832772370702E-3</v>
      </c>
      <c r="BX43">
        <f t="shared" si="20"/>
        <v>4.849473509972402E-3</v>
      </c>
      <c r="BY43">
        <f t="shared" si="20"/>
        <v>4.8553736958707287E-3</v>
      </c>
      <c r="BZ43">
        <f t="shared" si="20"/>
        <v>4.8643838349320418E-3</v>
      </c>
      <c r="CA43">
        <f t="shared" si="20"/>
        <v>4.8765039271563568E-3</v>
      </c>
      <c r="CB43">
        <f t="shared" si="20"/>
        <v>4.8917339725436521E-3</v>
      </c>
      <c r="CC43">
        <f t="shared" si="20"/>
        <v>4.9100739710939475E-3</v>
      </c>
      <c r="CD43">
        <f t="shared" si="20"/>
        <v>4.9315239228072232E-3</v>
      </c>
      <c r="CE43">
        <f t="shared" si="18"/>
        <v>4.9560838276835077E-3</v>
      </c>
      <c r="CF43">
        <f t="shared" si="18"/>
        <v>4.9837536857227725E-3</v>
      </c>
      <c r="CG43">
        <f t="shared" si="17"/>
        <v>5.0145334969250235E-3</v>
      </c>
      <c r="CH43">
        <f t="shared" si="17"/>
        <v>5.0484232612902757E-3</v>
      </c>
      <c r="CI43">
        <f t="shared" si="17"/>
        <v>5.085422978818515E-3</v>
      </c>
      <c r="CJ43">
        <f t="shared" si="17"/>
        <v>5.1255326495097493E-3</v>
      </c>
      <c r="CK43">
        <f t="shared" si="17"/>
        <v>5.1687522733639708E-3</v>
      </c>
      <c r="CL43">
        <f t="shared" si="17"/>
        <v>5.2150818503811855E-3</v>
      </c>
      <c r="CM43">
        <f t="shared" si="17"/>
        <v>5.2645213805613874E-3</v>
      </c>
      <c r="CN43">
        <f t="shared" si="17"/>
        <v>5.3170708639045852E-3</v>
      </c>
      <c r="CO43">
        <f t="shared" si="17"/>
        <v>5.3727303004107753E-3</v>
      </c>
      <c r="CP43">
        <f t="shared" si="17"/>
        <v>5.4314996900799465E-3</v>
      </c>
      <c r="CQ43">
        <f t="shared" si="17"/>
        <v>5.4933790329121249E-3</v>
      </c>
      <c r="CR43">
        <f t="shared" si="17"/>
        <v>5.5583683289072844E-3</v>
      </c>
      <c r="CS43">
        <f t="shared" si="17"/>
        <v>5.6264675780654371E-3</v>
      </c>
      <c r="CT43">
        <f t="shared" si="17"/>
        <v>5.697676780386584E-3</v>
      </c>
      <c r="CU43">
        <f t="shared" si="17"/>
        <v>5.7719959358707258E-3</v>
      </c>
      <c r="CV43">
        <f t="shared" si="17"/>
        <v>5.8494250445178479E-3</v>
      </c>
    </row>
    <row r="44" spans="1:100" x14ac:dyDescent="0.2">
      <c r="S44">
        <v>34.100000000000101</v>
      </c>
      <c r="T44">
        <f t="shared" si="21"/>
        <v>9.4752937812326819E-3</v>
      </c>
      <c r="U44">
        <f t="shared" si="21"/>
        <v>9.3069413594207562E-3</v>
      </c>
      <c r="V44">
        <f t="shared" si="21"/>
        <v>9.1416988907718263E-3</v>
      </c>
      <c r="W44">
        <f t="shared" si="21"/>
        <v>8.9795663752858888E-3</v>
      </c>
      <c r="X44">
        <f t="shared" si="21"/>
        <v>8.8205438129629471E-3</v>
      </c>
      <c r="Y44">
        <f t="shared" si="21"/>
        <v>8.6646312038029857E-3</v>
      </c>
      <c r="Z44">
        <f t="shared" si="21"/>
        <v>8.5118285478060166E-3</v>
      </c>
      <c r="AA44">
        <f t="shared" si="21"/>
        <v>8.3621358449720296E-3</v>
      </c>
      <c r="AB44">
        <f t="shared" si="21"/>
        <v>8.2155530953010487E-3</v>
      </c>
      <c r="AC44">
        <f t="shared" si="21"/>
        <v>8.0720802987930638E-3</v>
      </c>
      <c r="AD44">
        <f t="shared" si="21"/>
        <v>7.9317174554480573E-3</v>
      </c>
      <c r="AE44">
        <f t="shared" si="21"/>
        <v>7.7944645652660467E-3</v>
      </c>
      <c r="AF44">
        <f t="shared" si="21"/>
        <v>7.6603216282470294E-3</v>
      </c>
      <c r="AG44">
        <f t="shared" si="21"/>
        <v>7.5292886443910061E-3</v>
      </c>
      <c r="AH44">
        <f t="shared" si="21"/>
        <v>7.4013656136979631E-3</v>
      </c>
      <c r="AI44">
        <f t="shared" si="21"/>
        <v>7.2765525361679212E-3</v>
      </c>
      <c r="AJ44">
        <f t="shared" si="19"/>
        <v>7.1548494118008673E-3</v>
      </c>
      <c r="AK44">
        <f t="shared" si="19"/>
        <v>7.0362562405967988E-3</v>
      </c>
      <c r="AL44">
        <f t="shared" si="19"/>
        <v>6.9207730225557332E-3</v>
      </c>
      <c r="AM44">
        <f t="shared" si="19"/>
        <v>6.8083997576776538E-3</v>
      </c>
      <c r="AN44">
        <f t="shared" si="19"/>
        <v>6.6991364459625617E-3</v>
      </c>
      <c r="AO44">
        <f t="shared" si="19"/>
        <v>6.5929830874104705E-3</v>
      </c>
      <c r="AP44">
        <f t="shared" si="19"/>
        <v>6.4899396820213666E-3</v>
      </c>
      <c r="AQ44">
        <f t="shared" si="19"/>
        <v>6.3900062297952498E-3</v>
      </c>
      <c r="AR44">
        <f t="shared" si="19"/>
        <v>6.2931827307321272E-3</v>
      </c>
      <c r="AS44">
        <f t="shared" si="19"/>
        <v>6.1994691848319926E-3</v>
      </c>
      <c r="AT44">
        <f t="shared" si="19"/>
        <v>6.1088655920948582E-3</v>
      </c>
      <c r="AU44">
        <f t="shared" si="19"/>
        <v>6.0213719525207109E-3</v>
      </c>
      <c r="AV44">
        <f t="shared" si="19"/>
        <v>5.9369882661095509E-3</v>
      </c>
      <c r="AW44">
        <f t="shared" si="19"/>
        <v>5.8557145328613849E-3</v>
      </c>
      <c r="AX44">
        <f t="shared" si="19"/>
        <v>5.7775507527762131E-3</v>
      </c>
      <c r="AY44">
        <f t="shared" ref="AR44:BG60" si="23">$H$3+$H$4*AY$2+$H$5*AY$2*AY$2+$H$6*$S44+$H$7*$S44*$S44+$H$8*AY$2*$S44</f>
        <v>5.7024969258540293E-3</v>
      </c>
      <c r="AZ44">
        <f t="shared" si="23"/>
        <v>5.6305530520948388E-3</v>
      </c>
      <c r="BA44">
        <f t="shared" si="23"/>
        <v>5.5617191314986355E-3</v>
      </c>
      <c r="BB44">
        <f t="shared" si="23"/>
        <v>5.4959951640654262E-3</v>
      </c>
      <c r="BC44">
        <f t="shared" si="23"/>
        <v>5.4333811497952111E-3</v>
      </c>
      <c r="BD44">
        <f t="shared" si="23"/>
        <v>5.3738770886879832E-3</v>
      </c>
      <c r="BE44">
        <f t="shared" si="23"/>
        <v>5.3174829807437493E-3</v>
      </c>
      <c r="BF44">
        <f t="shared" si="23"/>
        <v>5.2641988259625096E-3</v>
      </c>
      <c r="BG44">
        <f t="shared" si="23"/>
        <v>5.214024624344258E-3</v>
      </c>
      <c r="BH44">
        <f t="shared" si="22"/>
        <v>5.1669603758889926E-3</v>
      </c>
      <c r="BI44">
        <f t="shared" si="22"/>
        <v>5.1230060805967214E-3</v>
      </c>
      <c r="BJ44">
        <f t="shared" si="22"/>
        <v>5.0821617384674443E-3</v>
      </c>
      <c r="BK44">
        <f t="shared" si="22"/>
        <v>5.0444273495011613E-3</v>
      </c>
      <c r="BL44">
        <f t="shared" si="22"/>
        <v>5.0098029136978655E-3</v>
      </c>
      <c r="BM44">
        <f t="shared" si="22"/>
        <v>4.9782884310575638E-3</v>
      </c>
      <c r="BN44">
        <f t="shared" si="22"/>
        <v>4.9498839015802492E-3</v>
      </c>
      <c r="BO44">
        <f t="shared" si="20"/>
        <v>4.9245893252659297E-3</v>
      </c>
      <c r="BP44">
        <f t="shared" si="20"/>
        <v>4.9024047021146034E-3</v>
      </c>
      <c r="BQ44">
        <f t="shared" si="20"/>
        <v>4.8833300321262643E-3</v>
      </c>
      <c r="BR44">
        <f t="shared" si="20"/>
        <v>4.8673653153009123E-3</v>
      </c>
      <c r="BS44">
        <f t="shared" si="20"/>
        <v>4.8545105516385623E-3</v>
      </c>
      <c r="BT44">
        <f t="shared" si="20"/>
        <v>4.8447657411391978E-3</v>
      </c>
      <c r="BU44">
        <f t="shared" si="20"/>
        <v>4.8381308838028221E-3</v>
      </c>
      <c r="BV44">
        <f t="shared" si="20"/>
        <v>4.8346059796294388E-3</v>
      </c>
      <c r="BW44">
        <f t="shared" si="20"/>
        <v>4.8341910286190583E-3</v>
      </c>
      <c r="BX44">
        <f t="shared" si="20"/>
        <v>4.8368860307716564E-3</v>
      </c>
      <c r="BY44">
        <f t="shared" si="20"/>
        <v>4.8426909860872502E-3</v>
      </c>
      <c r="BZ44">
        <f t="shared" si="20"/>
        <v>4.8516058945658304E-3</v>
      </c>
      <c r="CA44">
        <f t="shared" si="20"/>
        <v>4.8636307562074117E-3</v>
      </c>
      <c r="CB44">
        <f t="shared" si="20"/>
        <v>4.878765571011974E-3</v>
      </c>
      <c r="CC44">
        <f t="shared" si="20"/>
        <v>4.8970103389795365E-3</v>
      </c>
      <c r="CD44">
        <f t="shared" si="20"/>
        <v>4.9183650601100793E-3</v>
      </c>
      <c r="CE44">
        <f t="shared" si="18"/>
        <v>4.9428297344036301E-3</v>
      </c>
      <c r="CF44">
        <f t="shared" si="18"/>
        <v>4.9704043618601611E-3</v>
      </c>
      <c r="CG44">
        <f t="shared" si="17"/>
        <v>5.0010889424796793E-3</v>
      </c>
      <c r="CH44">
        <f t="shared" si="17"/>
        <v>5.0348834762621985E-3</v>
      </c>
      <c r="CI44">
        <f t="shared" si="17"/>
        <v>5.0717879632077049E-3</v>
      </c>
      <c r="CJ44">
        <f t="shared" si="17"/>
        <v>5.1118024033162054E-3</v>
      </c>
      <c r="CK44">
        <f t="shared" si="17"/>
        <v>5.154926796587694E-3</v>
      </c>
      <c r="CL44">
        <f t="shared" si="17"/>
        <v>5.201161143022175E-3</v>
      </c>
      <c r="CM44">
        <f t="shared" si="17"/>
        <v>5.2505054426196449E-3</v>
      </c>
      <c r="CN44">
        <f t="shared" si="17"/>
        <v>5.3029596953801088E-3</v>
      </c>
      <c r="CO44">
        <f t="shared" si="17"/>
        <v>5.3585239013035652E-3</v>
      </c>
      <c r="CP44">
        <f t="shared" si="17"/>
        <v>5.4171980603900036E-3</v>
      </c>
      <c r="CQ44">
        <f t="shared" si="17"/>
        <v>5.4789821726394482E-3</v>
      </c>
      <c r="CR44">
        <f t="shared" si="17"/>
        <v>5.5438762380518748E-3</v>
      </c>
      <c r="CS44">
        <f t="shared" si="17"/>
        <v>5.6118802566272937E-3</v>
      </c>
      <c r="CT44">
        <f t="shared" si="17"/>
        <v>5.6829942283657085E-3</v>
      </c>
      <c r="CU44">
        <f t="shared" si="17"/>
        <v>5.7572181532671166E-3</v>
      </c>
      <c r="CV44">
        <f t="shared" si="17"/>
        <v>5.8345520313315049E-3</v>
      </c>
    </row>
    <row r="45" spans="1:100" x14ac:dyDescent="0.2">
      <c r="S45">
        <v>34.200000000000102</v>
      </c>
      <c r="T45">
        <f t="shared" si="21"/>
        <v>9.468939668391815E-3</v>
      </c>
      <c r="U45">
        <f t="shared" si="21"/>
        <v>9.3004920159971572E-3</v>
      </c>
      <c r="V45">
        <f t="shared" si="21"/>
        <v>9.1351543167654935E-3</v>
      </c>
      <c r="W45">
        <f t="shared" si="21"/>
        <v>8.9729265706968223E-3</v>
      </c>
      <c r="X45">
        <f t="shared" si="21"/>
        <v>8.8138087777911468E-3</v>
      </c>
      <c r="Y45">
        <f t="shared" si="21"/>
        <v>8.6578009380484516E-3</v>
      </c>
      <c r="Z45">
        <f t="shared" si="21"/>
        <v>8.5049030514687506E-3</v>
      </c>
      <c r="AA45">
        <f t="shared" si="21"/>
        <v>8.3551151180520297E-3</v>
      </c>
      <c r="AB45">
        <f t="shared" si="21"/>
        <v>8.2084371377983169E-3</v>
      </c>
      <c r="AC45">
        <f t="shared" si="21"/>
        <v>8.0648691107075982E-3</v>
      </c>
      <c r="AD45">
        <f t="shared" si="21"/>
        <v>7.9244110367798597E-3</v>
      </c>
      <c r="AE45">
        <f t="shared" si="21"/>
        <v>7.7870629160151144E-3</v>
      </c>
      <c r="AF45">
        <f t="shared" si="21"/>
        <v>7.6528247484133642E-3</v>
      </c>
      <c r="AG45">
        <f t="shared" si="21"/>
        <v>7.5216965339746072E-3</v>
      </c>
      <c r="AH45">
        <f t="shared" si="21"/>
        <v>7.3936782726988313E-3</v>
      </c>
      <c r="AI45">
        <f t="shared" si="21"/>
        <v>7.2687699645860564E-3</v>
      </c>
      <c r="AJ45">
        <f t="shared" si="19"/>
        <v>7.1469716096362688E-3</v>
      </c>
      <c r="AK45">
        <f t="shared" si="19"/>
        <v>7.0282832078494683E-3</v>
      </c>
      <c r="AL45">
        <f t="shared" si="19"/>
        <v>6.912704759225668E-3</v>
      </c>
      <c r="AM45">
        <f t="shared" si="19"/>
        <v>6.8002362637648557E-3</v>
      </c>
      <c r="AN45">
        <f t="shared" si="19"/>
        <v>6.6908777214670307E-3</v>
      </c>
      <c r="AO45">
        <f t="shared" si="19"/>
        <v>6.5846291323322067E-3</v>
      </c>
      <c r="AP45">
        <f t="shared" si="19"/>
        <v>6.4814904963603689E-3</v>
      </c>
      <c r="AQ45">
        <f t="shared" si="19"/>
        <v>6.3814618135515193E-3</v>
      </c>
      <c r="AR45">
        <f t="shared" si="23"/>
        <v>6.2845430839056637E-3</v>
      </c>
      <c r="AS45">
        <f t="shared" si="23"/>
        <v>6.1907343074227954E-3</v>
      </c>
      <c r="AT45">
        <f t="shared" si="23"/>
        <v>6.1000354841029281E-3</v>
      </c>
      <c r="AU45">
        <f t="shared" si="23"/>
        <v>6.0124466139460479E-3</v>
      </c>
      <c r="AV45">
        <f t="shared" si="23"/>
        <v>5.9279676969521541E-3</v>
      </c>
      <c r="AW45">
        <f t="shared" si="23"/>
        <v>5.8465987331212553E-3</v>
      </c>
      <c r="AX45">
        <f t="shared" si="23"/>
        <v>5.7683397224533497E-3</v>
      </c>
      <c r="AY45">
        <f t="shared" si="23"/>
        <v>5.6931906649484321E-3</v>
      </c>
      <c r="AZ45">
        <f t="shared" si="23"/>
        <v>5.6211515606065087E-3</v>
      </c>
      <c r="BA45">
        <f t="shared" si="23"/>
        <v>5.5522224094275725E-3</v>
      </c>
      <c r="BB45">
        <f t="shared" si="23"/>
        <v>5.4864032114116303E-3</v>
      </c>
      <c r="BC45">
        <f t="shared" si="23"/>
        <v>5.4236939665586814E-3</v>
      </c>
      <c r="BD45">
        <f t="shared" si="23"/>
        <v>5.3640946748687206E-3</v>
      </c>
      <c r="BE45">
        <f t="shared" si="23"/>
        <v>5.3076053363417539E-3</v>
      </c>
      <c r="BF45">
        <f t="shared" si="23"/>
        <v>5.2542259509777813E-3</v>
      </c>
      <c r="BG45">
        <f t="shared" si="23"/>
        <v>5.203956518776795E-3</v>
      </c>
      <c r="BH45">
        <f t="shared" si="22"/>
        <v>5.1567970397387967E-3</v>
      </c>
      <c r="BI45">
        <f t="shared" si="22"/>
        <v>5.1127475138637926E-3</v>
      </c>
      <c r="BJ45">
        <f t="shared" si="22"/>
        <v>5.0718079411517826E-3</v>
      </c>
      <c r="BK45">
        <f t="shared" si="22"/>
        <v>5.0339783216027667E-3</v>
      </c>
      <c r="BL45">
        <f t="shared" si="22"/>
        <v>4.9992586552167371E-3</v>
      </c>
      <c r="BM45">
        <f t="shared" si="22"/>
        <v>4.9676489419937025E-3</v>
      </c>
      <c r="BN45">
        <f t="shared" si="22"/>
        <v>4.9391491819336542E-3</v>
      </c>
      <c r="BO45">
        <f t="shared" si="20"/>
        <v>4.9137593750366018E-3</v>
      </c>
      <c r="BP45">
        <f t="shared" si="20"/>
        <v>4.8914795213025417E-3</v>
      </c>
      <c r="BQ45">
        <f t="shared" si="20"/>
        <v>4.8723096207314697E-3</v>
      </c>
      <c r="BR45">
        <f t="shared" si="20"/>
        <v>4.8562496733233849E-3</v>
      </c>
      <c r="BS45">
        <f t="shared" si="20"/>
        <v>4.8432996790783011E-3</v>
      </c>
      <c r="BT45">
        <f t="shared" si="20"/>
        <v>4.8334596379962045E-3</v>
      </c>
      <c r="BU45">
        <f t="shared" si="20"/>
        <v>4.8267295500770942E-3</v>
      </c>
      <c r="BV45">
        <f t="shared" si="20"/>
        <v>4.8231094153209789E-3</v>
      </c>
      <c r="BW45">
        <f t="shared" si="20"/>
        <v>4.8225992337278646E-3</v>
      </c>
      <c r="BX45">
        <f t="shared" si="20"/>
        <v>4.8251990052977298E-3</v>
      </c>
      <c r="BY45">
        <f t="shared" si="20"/>
        <v>4.8309087300305899E-3</v>
      </c>
      <c r="BZ45">
        <f t="shared" si="20"/>
        <v>4.8397284079264372E-3</v>
      </c>
      <c r="CA45">
        <f t="shared" si="20"/>
        <v>4.8516580389852855E-3</v>
      </c>
      <c r="CB45">
        <f t="shared" si="20"/>
        <v>4.8666976232071141E-3</v>
      </c>
      <c r="CC45">
        <f t="shared" si="20"/>
        <v>4.8848471605919437E-3</v>
      </c>
      <c r="CD45">
        <f t="shared" si="20"/>
        <v>4.9061066511397536E-3</v>
      </c>
      <c r="CE45">
        <f t="shared" si="18"/>
        <v>4.9304760948505706E-3</v>
      </c>
      <c r="CF45">
        <f t="shared" si="18"/>
        <v>4.9579554917243687E-3</v>
      </c>
      <c r="CG45">
        <f t="shared" si="17"/>
        <v>4.9885448417611531E-3</v>
      </c>
      <c r="CH45">
        <f t="shared" si="17"/>
        <v>5.0222441449609394E-3</v>
      </c>
      <c r="CI45">
        <f t="shared" si="17"/>
        <v>5.059053401323713E-3</v>
      </c>
      <c r="CJ45">
        <f t="shared" si="17"/>
        <v>5.0989726108494806E-3</v>
      </c>
      <c r="CK45">
        <f t="shared" si="17"/>
        <v>5.1420017735382345E-3</v>
      </c>
      <c r="CL45">
        <f t="shared" si="17"/>
        <v>5.1881408893899835E-3</v>
      </c>
      <c r="CM45">
        <f t="shared" si="17"/>
        <v>5.2373899584047187E-3</v>
      </c>
      <c r="CN45">
        <f t="shared" si="17"/>
        <v>5.2897489805824498E-3</v>
      </c>
      <c r="CO45">
        <f t="shared" si="17"/>
        <v>5.3452179559231741E-3</v>
      </c>
      <c r="CP45">
        <f t="shared" si="17"/>
        <v>5.4037968844268779E-3</v>
      </c>
      <c r="CQ45">
        <f t="shared" si="17"/>
        <v>5.4654857660935904E-3</v>
      </c>
      <c r="CR45">
        <f t="shared" si="17"/>
        <v>5.5302846009232833E-3</v>
      </c>
      <c r="CS45">
        <f t="shared" si="17"/>
        <v>5.5981933889159702E-3</v>
      </c>
      <c r="CT45">
        <f t="shared" si="17"/>
        <v>5.6692121300716504E-3</v>
      </c>
      <c r="CU45">
        <f t="shared" si="17"/>
        <v>5.7433408243903255E-3</v>
      </c>
      <c r="CV45">
        <f t="shared" si="17"/>
        <v>5.8205794718719801E-3</v>
      </c>
    </row>
    <row r="46" spans="1:100" x14ac:dyDescent="0.2">
      <c r="S46">
        <v>34.300000000000097</v>
      </c>
      <c r="T46">
        <f t="shared" si="21"/>
        <v>9.4634860092777662E-3</v>
      </c>
      <c r="U46">
        <f t="shared" si="21"/>
        <v>9.2949431263003746E-3</v>
      </c>
      <c r="V46">
        <f t="shared" si="21"/>
        <v>9.1295101964859772E-3</v>
      </c>
      <c r="W46">
        <f t="shared" si="21"/>
        <v>8.9671872198345756E-3</v>
      </c>
      <c r="X46">
        <f t="shared" si="21"/>
        <v>8.8079741963461664E-3</v>
      </c>
      <c r="Y46">
        <f t="shared" si="21"/>
        <v>8.6518711260207375E-3</v>
      </c>
      <c r="Z46">
        <f t="shared" si="21"/>
        <v>8.4988780088583026E-3</v>
      </c>
      <c r="AA46">
        <f t="shared" si="21"/>
        <v>8.348994844858848E-3</v>
      </c>
      <c r="AB46">
        <f t="shared" si="21"/>
        <v>8.2022216340224031E-3</v>
      </c>
      <c r="AC46">
        <f t="shared" si="21"/>
        <v>8.0585583763489507E-3</v>
      </c>
      <c r="AD46">
        <f t="shared" si="21"/>
        <v>7.9180050718384784E-3</v>
      </c>
      <c r="AE46">
        <f t="shared" si="21"/>
        <v>7.7805617204910003E-3</v>
      </c>
      <c r="AF46">
        <f t="shared" si="21"/>
        <v>7.6462283223065171E-3</v>
      </c>
      <c r="AG46">
        <f t="shared" si="21"/>
        <v>7.5150048772850272E-3</v>
      </c>
      <c r="AH46">
        <f t="shared" si="21"/>
        <v>7.3868913854265184E-3</v>
      </c>
      <c r="AI46">
        <f t="shared" si="21"/>
        <v>7.2618878467310098E-3</v>
      </c>
      <c r="AJ46">
        <f t="shared" si="19"/>
        <v>7.1399942611984884E-3</v>
      </c>
      <c r="AK46">
        <f t="shared" si="19"/>
        <v>7.021210628828955E-3</v>
      </c>
      <c r="AL46">
        <f t="shared" si="19"/>
        <v>6.9055369496224218E-3</v>
      </c>
      <c r="AM46">
        <f t="shared" si="19"/>
        <v>6.7929732235788767E-3</v>
      </c>
      <c r="AN46">
        <f t="shared" si="19"/>
        <v>6.6835194506983178E-3</v>
      </c>
      <c r="AO46">
        <f t="shared" si="19"/>
        <v>6.57717563098076E-3</v>
      </c>
      <c r="AP46">
        <f t="shared" si="19"/>
        <v>6.4739417644261903E-3</v>
      </c>
      <c r="AQ46">
        <f t="shared" si="19"/>
        <v>6.3738178510346069E-3</v>
      </c>
      <c r="AR46">
        <f t="shared" si="23"/>
        <v>6.2768038908060184E-3</v>
      </c>
      <c r="AS46">
        <f t="shared" si="23"/>
        <v>6.1828998837404163E-3</v>
      </c>
      <c r="AT46">
        <f t="shared" si="23"/>
        <v>6.0921058298378152E-3</v>
      </c>
      <c r="AU46">
        <f t="shared" si="23"/>
        <v>6.0044217290982022E-3</v>
      </c>
      <c r="AV46">
        <f t="shared" si="23"/>
        <v>5.9198475815215755E-3</v>
      </c>
      <c r="AW46">
        <f t="shared" si="23"/>
        <v>5.8383833871079437E-3</v>
      </c>
      <c r="AX46">
        <f t="shared" si="23"/>
        <v>5.7600291458573052E-3</v>
      </c>
      <c r="AY46">
        <f t="shared" si="23"/>
        <v>5.6847848577696548E-3</v>
      </c>
      <c r="AZ46">
        <f t="shared" si="23"/>
        <v>5.6126505228449976E-3</v>
      </c>
      <c r="BA46">
        <f t="shared" si="23"/>
        <v>5.5436261410833276E-3</v>
      </c>
      <c r="BB46">
        <f t="shared" si="23"/>
        <v>5.4777117124846526E-3</v>
      </c>
      <c r="BC46">
        <f t="shared" si="23"/>
        <v>5.4149072370489708E-3</v>
      </c>
      <c r="BD46">
        <f t="shared" si="23"/>
        <v>5.3552127147762762E-3</v>
      </c>
      <c r="BE46">
        <f t="shared" si="23"/>
        <v>5.2986281456665766E-3</v>
      </c>
      <c r="BF46">
        <f t="shared" si="23"/>
        <v>5.2451535297198702E-3</v>
      </c>
      <c r="BG46">
        <f t="shared" si="23"/>
        <v>5.1947888669361519E-3</v>
      </c>
      <c r="BH46">
        <f t="shared" si="22"/>
        <v>5.1475341573154199E-3</v>
      </c>
      <c r="BI46">
        <f t="shared" si="22"/>
        <v>5.103389400857682E-3</v>
      </c>
      <c r="BJ46">
        <f t="shared" si="22"/>
        <v>5.062354597562939E-3</v>
      </c>
      <c r="BK46">
        <f t="shared" si="22"/>
        <v>5.0244297474311894E-3</v>
      </c>
      <c r="BL46">
        <f t="shared" si="22"/>
        <v>4.9896148504624278E-3</v>
      </c>
      <c r="BM46">
        <f t="shared" si="22"/>
        <v>4.9579099066566594E-3</v>
      </c>
      <c r="BN46">
        <f t="shared" si="22"/>
        <v>4.9293149160138782E-3</v>
      </c>
      <c r="BO46">
        <f t="shared" si="20"/>
        <v>4.903829878534092E-3</v>
      </c>
      <c r="BP46">
        <f t="shared" si="20"/>
        <v>4.8814547942172999E-3</v>
      </c>
      <c r="BQ46">
        <f t="shared" si="20"/>
        <v>4.8621896630634941E-3</v>
      </c>
      <c r="BR46">
        <f t="shared" si="20"/>
        <v>4.8460344850726755E-3</v>
      </c>
      <c r="BS46">
        <f t="shared" si="20"/>
        <v>4.832989260244858E-3</v>
      </c>
      <c r="BT46">
        <f t="shared" si="20"/>
        <v>4.8230539885800285E-3</v>
      </c>
      <c r="BU46">
        <f t="shared" si="20"/>
        <v>4.8162286700781853E-3</v>
      </c>
      <c r="BV46">
        <f t="shared" si="20"/>
        <v>4.8125133047393371E-3</v>
      </c>
      <c r="BW46">
        <f t="shared" si="20"/>
        <v>4.8119078925634891E-3</v>
      </c>
      <c r="BX46">
        <f t="shared" si="20"/>
        <v>4.8144124335506213E-3</v>
      </c>
      <c r="BY46">
        <f t="shared" si="20"/>
        <v>4.8200269277007476E-3</v>
      </c>
      <c r="BZ46">
        <f t="shared" si="20"/>
        <v>4.828751375013862E-3</v>
      </c>
      <c r="CA46">
        <f t="shared" si="20"/>
        <v>4.8405857754899775E-3</v>
      </c>
      <c r="CB46">
        <f t="shared" si="20"/>
        <v>4.8555301291290723E-3</v>
      </c>
      <c r="CC46">
        <f t="shared" si="20"/>
        <v>4.873584435931169E-3</v>
      </c>
      <c r="CD46">
        <f t="shared" si="20"/>
        <v>4.8947486958962451E-3</v>
      </c>
      <c r="CE46">
        <f t="shared" si="18"/>
        <v>4.9190229090243301E-3</v>
      </c>
      <c r="CF46">
        <f t="shared" si="18"/>
        <v>4.9464070753153944E-3</v>
      </c>
      <c r="CG46">
        <f t="shared" si="17"/>
        <v>4.976901194769446E-3</v>
      </c>
      <c r="CH46">
        <f t="shared" si="17"/>
        <v>5.0105052673864985E-3</v>
      </c>
      <c r="CI46">
        <f t="shared" si="17"/>
        <v>5.0472192931665383E-3</v>
      </c>
      <c r="CJ46">
        <f t="shared" si="17"/>
        <v>5.087043272109573E-3</v>
      </c>
      <c r="CK46">
        <f t="shared" si="17"/>
        <v>5.1299772042155949E-3</v>
      </c>
      <c r="CL46">
        <f t="shared" si="17"/>
        <v>5.1760210894846101E-3</v>
      </c>
      <c r="CM46">
        <f t="shared" si="17"/>
        <v>5.2251749279166124E-3</v>
      </c>
      <c r="CN46">
        <f t="shared" si="17"/>
        <v>5.2774387195116106E-3</v>
      </c>
      <c r="CO46">
        <f t="shared" si="17"/>
        <v>5.3328124642696012E-3</v>
      </c>
      <c r="CP46">
        <f t="shared" si="17"/>
        <v>5.391296162190572E-3</v>
      </c>
      <c r="CQ46">
        <f t="shared" si="17"/>
        <v>5.4528898132745508E-3</v>
      </c>
      <c r="CR46">
        <f t="shared" si="17"/>
        <v>5.5175934175215099E-3</v>
      </c>
      <c r="CS46">
        <f t="shared" si="17"/>
        <v>5.5854069749314639E-3</v>
      </c>
      <c r="CT46">
        <f t="shared" si="17"/>
        <v>5.6563304855044112E-3</v>
      </c>
      <c r="CU46">
        <f t="shared" si="17"/>
        <v>5.7303639492403535E-3</v>
      </c>
      <c r="CV46">
        <f t="shared" si="17"/>
        <v>5.8075073661392751E-3</v>
      </c>
    </row>
    <row r="47" spans="1:100" x14ac:dyDescent="0.2">
      <c r="S47">
        <v>34.400000000000098</v>
      </c>
      <c r="T47">
        <f t="shared" si="21"/>
        <v>9.4589328038905355E-3</v>
      </c>
      <c r="U47">
        <f t="shared" si="21"/>
        <v>9.2902946903304119E-3</v>
      </c>
      <c r="V47">
        <f t="shared" si="21"/>
        <v>9.1247665299332807E-3</v>
      </c>
      <c r="W47">
        <f t="shared" si="21"/>
        <v>8.9623483226991454E-3</v>
      </c>
      <c r="X47">
        <f t="shared" si="21"/>
        <v>8.8030400686280024E-3</v>
      </c>
      <c r="Y47">
        <f t="shared" si="21"/>
        <v>8.6468417677198414E-3</v>
      </c>
      <c r="Z47">
        <f t="shared" si="21"/>
        <v>8.4937534199746728E-3</v>
      </c>
      <c r="AA47">
        <f t="shared" si="21"/>
        <v>8.3437750253924862E-3</v>
      </c>
      <c r="AB47">
        <f t="shared" si="21"/>
        <v>8.1969065839733058E-3</v>
      </c>
      <c r="AC47">
        <f t="shared" si="21"/>
        <v>8.0531480957171213E-3</v>
      </c>
      <c r="AD47">
        <f t="shared" si="21"/>
        <v>7.9124995606239153E-3</v>
      </c>
      <c r="AE47">
        <f t="shared" si="21"/>
        <v>7.7749609786937051E-3</v>
      </c>
      <c r="AF47">
        <f t="shared" si="21"/>
        <v>7.6405323499264882E-3</v>
      </c>
      <c r="AG47">
        <f t="shared" si="21"/>
        <v>7.5092136743222654E-3</v>
      </c>
      <c r="AH47">
        <f t="shared" si="21"/>
        <v>7.3810049518810228E-3</v>
      </c>
      <c r="AI47">
        <f t="shared" si="21"/>
        <v>7.2559061826027813E-3</v>
      </c>
      <c r="AJ47">
        <f t="shared" si="19"/>
        <v>7.133917366487527E-3</v>
      </c>
      <c r="AK47">
        <f t="shared" si="19"/>
        <v>7.0150385035352598E-3</v>
      </c>
      <c r="AL47">
        <f t="shared" si="19"/>
        <v>6.8992695937459938E-3</v>
      </c>
      <c r="AM47">
        <f t="shared" si="19"/>
        <v>6.7866106371197148E-3</v>
      </c>
      <c r="AN47">
        <f t="shared" si="19"/>
        <v>6.6770616336564231E-3</v>
      </c>
      <c r="AO47">
        <f t="shared" si="19"/>
        <v>6.5706225833561324E-3</v>
      </c>
      <c r="AP47">
        <f t="shared" si="19"/>
        <v>6.4672934862188289E-3</v>
      </c>
      <c r="AQ47">
        <f t="shared" si="19"/>
        <v>6.3670743422445126E-3</v>
      </c>
      <c r="AR47">
        <f t="shared" si="23"/>
        <v>6.2699651514331904E-3</v>
      </c>
      <c r="AS47">
        <f t="shared" si="23"/>
        <v>6.1759659137848553E-3</v>
      </c>
      <c r="AT47">
        <f t="shared" si="23"/>
        <v>6.0850766292995214E-3</v>
      </c>
      <c r="AU47">
        <f t="shared" si="23"/>
        <v>5.9972972979771746E-3</v>
      </c>
      <c r="AV47">
        <f t="shared" si="23"/>
        <v>5.912627919817815E-3</v>
      </c>
      <c r="AW47">
        <f t="shared" si="23"/>
        <v>5.8310684948214495E-3</v>
      </c>
      <c r="AX47">
        <f t="shared" si="23"/>
        <v>5.7526190229880781E-3</v>
      </c>
      <c r="AY47">
        <f t="shared" si="23"/>
        <v>5.6772795043176939E-3</v>
      </c>
      <c r="AZ47">
        <f t="shared" si="23"/>
        <v>5.6050499388103046E-3</v>
      </c>
      <c r="BA47">
        <f t="shared" si="23"/>
        <v>5.5359303264659009E-3</v>
      </c>
      <c r="BB47">
        <f t="shared" si="23"/>
        <v>5.4699206672844921E-3</v>
      </c>
      <c r="BC47">
        <f t="shared" si="23"/>
        <v>5.4070209612660774E-3</v>
      </c>
      <c r="BD47">
        <f t="shared" si="23"/>
        <v>5.3472312084106507E-3</v>
      </c>
      <c r="BE47">
        <f t="shared" si="23"/>
        <v>5.2905514087182165E-3</v>
      </c>
      <c r="BF47">
        <f t="shared" si="23"/>
        <v>5.2369815621887781E-3</v>
      </c>
      <c r="BG47">
        <f t="shared" si="23"/>
        <v>5.1865216688223251E-3</v>
      </c>
      <c r="BH47">
        <f t="shared" si="22"/>
        <v>5.1391717286188611E-3</v>
      </c>
      <c r="BI47">
        <f t="shared" si="22"/>
        <v>5.0949317415783894E-3</v>
      </c>
      <c r="BJ47">
        <f t="shared" si="22"/>
        <v>5.0538017077009136E-3</v>
      </c>
      <c r="BK47">
        <f t="shared" si="22"/>
        <v>5.0157816269864311E-3</v>
      </c>
      <c r="BL47">
        <f t="shared" si="22"/>
        <v>4.9808714994349357E-3</v>
      </c>
      <c r="BM47">
        <f t="shared" si="22"/>
        <v>4.9490713250464335E-3</v>
      </c>
      <c r="BN47">
        <f t="shared" si="22"/>
        <v>4.9203811038209203E-3</v>
      </c>
      <c r="BO47">
        <f t="shared" si="20"/>
        <v>4.8948008357584004E-3</v>
      </c>
      <c r="BP47">
        <f t="shared" si="20"/>
        <v>4.8723305208588745E-3</v>
      </c>
      <c r="BQ47">
        <f t="shared" si="20"/>
        <v>4.8529701591223358E-3</v>
      </c>
      <c r="BR47">
        <f t="shared" si="20"/>
        <v>4.8367197505487843E-3</v>
      </c>
      <c r="BS47">
        <f t="shared" si="20"/>
        <v>4.8235792951382339E-3</v>
      </c>
      <c r="BT47">
        <f t="shared" si="20"/>
        <v>4.8135487928906706E-3</v>
      </c>
      <c r="BU47">
        <f t="shared" si="20"/>
        <v>4.8066282438060945E-3</v>
      </c>
      <c r="BV47">
        <f t="shared" si="20"/>
        <v>4.8028176478845126E-3</v>
      </c>
      <c r="BW47">
        <f t="shared" si="20"/>
        <v>4.8021170051259316E-3</v>
      </c>
      <c r="BX47">
        <f t="shared" si="20"/>
        <v>4.804526315530331E-3</v>
      </c>
      <c r="BY47">
        <f t="shared" si="20"/>
        <v>4.8100455790977244E-3</v>
      </c>
      <c r="BZ47">
        <f t="shared" si="20"/>
        <v>4.818674795828105E-3</v>
      </c>
      <c r="CA47">
        <f t="shared" si="20"/>
        <v>4.8304139657214876E-3</v>
      </c>
      <c r="CB47">
        <f t="shared" si="20"/>
        <v>4.8452630887778486E-3</v>
      </c>
      <c r="CC47">
        <f t="shared" si="20"/>
        <v>4.8632221649972125E-3</v>
      </c>
      <c r="CD47">
        <f t="shared" si="20"/>
        <v>4.8842911943795548E-3</v>
      </c>
      <c r="CE47">
        <f t="shared" si="18"/>
        <v>4.9084701769249069E-3</v>
      </c>
      <c r="CF47">
        <f t="shared" si="18"/>
        <v>4.9357591126332374E-3</v>
      </c>
      <c r="CG47">
        <f t="shared" si="17"/>
        <v>4.9661580015045561E-3</v>
      </c>
      <c r="CH47">
        <f t="shared" si="17"/>
        <v>4.9996668435388757E-3</v>
      </c>
      <c r="CI47">
        <f t="shared" si="17"/>
        <v>5.0362856387361826E-3</v>
      </c>
      <c r="CJ47">
        <f t="shared" si="17"/>
        <v>5.0760143870964836E-3</v>
      </c>
      <c r="CK47">
        <f t="shared" si="17"/>
        <v>5.1188530886197726E-3</v>
      </c>
      <c r="CL47">
        <f t="shared" si="17"/>
        <v>5.164801743306054E-3</v>
      </c>
      <c r="CM47">
        <f t="shared" si="17"/>
        <v>5.2138603511553243E-3</v>
      </c>
      <c r="CN47">
        <f t="shared" si="17"/>
        <v>5.2660289121675878E-3</v>
      </c>
      <c r="CO47">
        <f t="shared" si="17"/>
        <v>5.3213074263428455E-3</v>
      </c>
      <c r="CP47">
        <f t="shared" si="17"/>
        <v>5.3796958936810834E-3</v>
      </c>
      <c r="CQ47">
        <f t="shared" si="17"/>
        <v>5.4411943141823294E-3</v>
      </c>
      <c r="CR47">
        <f t="shared" si="17"/>
        <v>5.5058026878465546E-3</v>
      </c>
      <c r="CS47">
        <f t="shared" si="17"/>
        <v>5.5735210146737758E-3</v>
      </c>
      <c r="CT47">
        <f t="shared" si="17"/>
        <v>5.6443492946639893E-3</v>
      </c>
      <c r="CU47">
        <f t="shared" si="17"/>
        <v>5.7182875278171987E-3</v>
      </c>
      <c r="CV47">
        <f t="shared" si="17"/>
        <v>5.7953357141333865E-3</v>
      </c>
    </row>
    <row r="48" spans="1:100" x14ac:dyDescent="0.2">
      <c r="S48">
        <v>34.500000000000099</v>
      </c>
      <c r="T48">
        <f t="shared" si="21"/>
        <v>9.4552800522301091E-3</v>
      </c>
      <c r="U48">
        <f t="shared" si="21"/>
        <v>9.2865467080872517E-3</v>
      </c>
      <c r="V48">
        <f t="shared" si="21"/>
        <v>9.1209233171073885E-3</v>
      </c>
      <c r="W48">
        <f t="shared" si="21"/>
        <v>8.9584098792905194E-3</v>
      </c>
      <c r="X48">
        <f t="shared" si="21"/>
        <v>8.7990063946366444E-3</v>
      </c>
      <c r="Y48">
        <f t="shared" si="21"/>
        <v>8.6427128631457496E-3</v>
      </c>
      <c r="Z48">
        <f t="shared" si="21"/>
        <v>8.4895292848178473E-3</v>
      </c>
      <c r="AA48">
        <f t="shared" si="21"/>
        <v>8.3394556596529269E-3</v>
      </c>
      <c r="AB48">
        <f t="shared" si="21"/>
        <v>8.1924919876510145E-3</v>
      </c>
      <c r="AC48">
        <f t="shared" si="21"/>
        <v>8.0486382688120962E-3</v>
      </c>
      <c r="AD48">
        <f t="shared" si="21"/>
        <v>7.9078945031361581E-3</v>
      </c>
      <c r="AE48">
        <f t="shared" si="21"/>
        <v>7.7702606906232133E-3</v>
      </c>
      <c r="AF48">
        <f t="shared" si="21"/>
        <v>7.6357368312732626E-3</v>
      </c>
      <c r="AG48">
        <f t="shared" si="21"/>
        <v>7.5043229250863069E-3</v>
      </c>
      <c r="AH48">
        <f t="shared" si="21"/>
        <v>7.3760189720623315E-3</v>
      </c>
      <c r="AI48">
        <f t="shared" si="21"/>
        <v>7.2508249722013571E-3</v>
      </c>
      <c r="AJ48">
        <f t="shared" si="19"/>
        <v>7.128740925503369E-3</v>
      </c>
      <c r="AK48">
        <f t="shared" si="19"/>
        <v>7.0097668319683689E-3</v>
      </c>
      <c r="AL48">
        <f t="shared" si="19"/>
        <v>6.8939026915963691E-3</v>
      </c>
      <c r="AM48">
        <f t="shared" si="19"/>
        <v>6.7811485043873573E-3</v>
      </c>
      <c r="AN48">
        <f t="shared" si="19"/>
        <v>6.6715042703413326E-3</v>
      </c>
      <c r="AO48">
        <f t="shared" si="19"/>
        <v>6.564969989458309E-3</v>
      </c>
      <c r="AP48">
        <f t="shared" si="19"/>
        <v>6.4615456617382718E-3</v>
      </c>
      <c r="AQ48">
        <f t="shared" si="19"/>
        <v>6.3612312871812226E-3</v>
      </c>
      <c r="AR48">
        <f t="shared" si="23"/>
        <v>6.2640268657871666E-3</v>
      </c>
      <c r="AS48">
        <f t="shared" si="23"/>
        <v>6.1699323975560987E-3</v>
      </c>
      <c r="AT48">
        <f t="shared" si="23"/>
        <v>6.0789478824880318E-3</v>
      </c>
      <c r="AU48">
        <f t="shared" si="23"/>
        <v>5.9910733205829521E-3</v>
      </c>
      <c r="AV48">
        <f t="shared" si="23"/>
        <v>5.9063087118408587E-3</v>
      </c>
      <c r="AW48">
        <f t="shared" si="23"/>
        <v>5.8246540562617603E-3</v>
      </c>
      <c r="AX48">
        <f t="shared" si="23"/>
        <v>5.7461093538456551E-3</v>
      </c>
      <c r="AY48">
        <f t="shared" si="23"/>
        <v>5.670674604592538E-3</v>
      </c>
      <c r="AZ48">
        <f t="shared" si="23"/>
        <v>5.5983498085024151E-3</v>
      </c>
      <c r="BA48">
        <f t="shared" si="23"/>
        <v>5.5291349655752784E-3</v>
      </c>
      <c r="BB48">
        <f t="shared" si="23"/>
        <v>5.4630300758111367E-3</v>
      </c>
      <c r="BC48">
        <f t="shared" si="23"/>
        <v>5.4000351392099891E-3</v>
      </c>
      <c r="BD48">
        <f t="shared" si="23"/>
        <v>5.3401501557718278E-3</v>
      </c>
      <c r="BE48">
        <f t="shared" si="23"/>
        <v>5.2833751254966616E-3</v>
      </c>
      <c r="BF48">
        <f t="shared" si="23"/>
        <v>5.2297100483844894E-3</v>
      </c>
      <c r="BG48">
        <f t="shared" si="23"/>
        <v>5.1791549244353044E-3</v>
      </c>
      <c r="BH48">
        <f t="shared" si="22"/>
        <v>5.1317097536491057E-3</v>
      </c>
      <c r="BI48">
        <f t="shared" si="22"/>
        <v>5.087374536025902E-3</v>
      </c>
      <c r="BJ48">
        <f t="shared" si="22"/>
        <v>5.0461492715656916E-3</v>
      </c>
      <c r="BK48">
        <f t="shared" si="22"/>
        <v>5.0080339602684761E-3</v>
      </c>
      <c r="BL48">
        <f t="shared" si="22"/>
        <v>4.9730286021342478E-3</v>
      </c>
      <c r="BM48">
        <f t="shared" si="22"/>
        <v>4.9411331971630128E-3</v>
      </c>
      <c r="BN48">
        <f t="shared" si="22"/>
        <v>4.9123477453547658E-3</v>
      </c>
      <c r="BO48">
        <f t="shared" si="20"/>
        <v>4.886672246709513E-3</v>
      </c>
      <c r="BP48">
        <f t="shared" si="20"/>
        <v>4.8641067012272533E-3</v>
      </c>
      <c r="BQ48">
        <f t="shared" si="20"/>
        <v>4.8446511089079818E-3</v>
      </c>
      <c r="BR48">
        <f t="shared" si="20"/>
        <v>4.8283054697516974E-3</v>
      </c>
      <c r="BS48">
        <f t="shared" si="20"/>
        <v>4.815069783758414E-3</v>
      </c>
      <c r="BT48">
        <f t="shared" si="20"/>
        <v>4.804944050928117E-3</v>
      </c>
      <c r="BU48">
        <f t="shared" si="20"/>
        <v>4.7979282712608071E-3</v>
      </c>
      <c r="BV48">
        <f t="shared" si="20"/>
        <v>4.7940224447564923E-3</v>
      </c>
      <c r="BW48">
        <f t="shared" si="20"/>
        <v>4.7932265714151785E-3</v>
      </c>
      <c r="BX48">
        <f t="shared" si="20"/>
        <v>4.7955406512368449E-3</v>
      </c>
      <c r="BY48">
        <f t="shared" si="20"/>
        <v>4.8009646842215046E-3</v>
      </c>
      <c r="BZ48">
        <f t="shared" si="20"/>
        <v>4.8094986703691514E-3</v>
      </c>
      <c r="CA48">
        <f t="shared" si="20"/>
        <v>4.8211426096798011E-3</v>
      </c>
      <c r="CB48">
        <f t="shared" si="20"/>
        <v>4.8358965021534292E-3</v>
      </c>
      <c r="CC48">
        <f t="shared" si="20"/>
        <v>4.8537603477900593E-3</v>
      </c>
      <c r="CD48">
        <f t="shared" si="20"/>
        <v>4.8747341465896696E-3</v>
      </c>
      <c r="CE48">
        <f t="shared" si="18"/>
        <v>4.8988178985522879E-3</v>
      </c>
      <c r="CF48">
        <f t="shared" si="18"/>
        <v>4.9260116036778856E-3</v>
      </c>
      <c r="CG48">
        <f t="shared" si="17"/>
        <v>4.9563152619664704E-3</v>
      </c>
      <c r="CH48">
        <f t="shared" si="17"/>
        <v>4.9897288734180572E-3</v>
      </c>
      <c r="CI48">
        <f t="shared" si="17"/>
        <v>5.0262524380326312E-3</v>
      </c>
      <c r="CJ48">
        <f t="shared" si="17"/>
        <v>5.0658859558101992E-3</v>
      </c>
      <c r="CK48">
        <f t="shared" si="17"/>
        <v>5.1086294267507536E-3</v>
      </c>
      <c r="CL48">
        <f t="shared" si="17"/>
        <v>5.1544828508543021E-3</v>
      </c>
      <c r="CM48">
        <f t="shared" si="17"/>
        <v>5.2034462281208387E-3</v>
      </c>
      <c r="CN48">
        <f t="shared" si="17"/>
        <v>5.2555195585503693E-3</v>
      </c>
      <c r="CO48">
        <f t="shared" si="17"/>
        <v>5.3107028421428941E-3</v>
      </c>
      <c r="CP48">
        <f t="shared" si="17"/>
        <v>5.3689960788983991E-3</v>
      </c>
      <c r="CQ48">
        <f t="shared" si="17"/>
        <v>5.4303992688169113E-3</v>
      </c>
      <c r="CR48">
        <f t="shared" si="17"/>
        <v>5.4949124118984036E-3</v>
      </c>
      <c r="CS48">
        <f t="shared" si="17"/>
        <v>5.562535508142891E-3</v>
      </c>
      <c r="CT48">
        <f t="shared" si="17"/>
        <v>5.6332685575503725E-3</v>
      </c>
      <c r="CU48">
        <f t="shared" si="17"/>
        <v>5.7071115601208481E-3</v>
      </c>
      <c r="CV48">
        <f t="shared" si="17"/>
        <v>5.7840645158543039E-3</v>
      </c>
    </row>
    <row r="49" spans="19:100" x14ac:dyDescent="0.2">
      <c r="S49">
        <v>34.600000000000101</v>
      </c>
      <c r="T49">
        <f t="shared" si="21"/>
        <v>9.4525277542965285E-3</v>
      </c>
      <c r="U49">
        <f t="shared" si="21"/>
        <v>9.2836991795709391E-3</v>
      </c>
      <c r="V49">
        <f t="shared" si="21"/>
        <v>9.1179805580083421E-3</v>
      </c>
      <c r="W49">
        <f t="shared" si="21"/>
        <v>8.9553718896087393E-3</v>
      </c>
      <c r="X49">
        <f t="shared" si="21"/>
        <v>8.7958731743721305E-3</v>
      </c>
      <c r="Y49">
        <f t="shared" si="21"/>
        <v>8.639484412298502E-3</v>
      </c>
      <c r="Z49">
        <f t="shared" si="21"/>
        <v>8.4862056033878676E-3</v>
      </c>
      <c r="AA49">
        <f t="shared" si="21"/>
        <v>8.3360367476402134E-3</v>
      </c>
      <c r="AB49">
        <f t="shared" si="21"/>
        <v>8.188977845055569E-3</v>
      </c>
      <c r="AC49">
        <f t="shared" si="21"/>
        <v>8.0450288956339169E-3</v>
      </c>
      <c r="AD49">
        <f t="shared" si="21"/>
        <v>7.9041898993752451E-3</v>
      </c>
      <c r="AE49">
        <f t="shared" si="21"/>
        <v>7.7664608562795674E-3</v>
      </c>
      <c r="AF49">
        <f t="shared" si="21"/>
        <v>7.6318417663468838E-3</v>
      </c>
      <c r="AG49">
        <f t="shared" si="21"/>
        <v>7.5003326295771952E-3</v>
      </c>
      <c r="AH49">
        <f t="shared" si="21"/>
        <v>7.371933445970486E-3</v>
      </c>
      <c r="AI49">
        <f t="shared" si="21"/>
        <v>7.2466442155267779E-3</v>
      </c>
      <c r="AJ49">
        <f t="shared" si="19"/>
        <v>7.1244649382460577E-3</v>
      </c>
      <c r="AK49">
        <f t="shared" si="19"/>
        <v>7.0053956141283239E-3</v>
      </c>
      <c r="AL49">
        <f t="shared" si="19"/>
        <v>6.8894362431735912E-3</v>
      </c>
      <c r="AM49">
        <f t="shared" si="19"/>
        <v>6.7765868253818456E-3</v>
      </c>
      <c r="AN49">
        <f t="shared" si="19"/>
        <v>6.666847360753088E-3</v>
      </c>
      <c r="AO49">
        <f t="shared" si="19"/>
        <v>6.5602178492873307E-3</v>
      </c>
      <c r="AP49">
        <f t="shared" si="19"/>
        <v>6.4566982909845605E-3</v>
      </c>
      <c r="AQ49">
        <f t="shared" si="19"/>
        <v>6.3562886858447784E-3</v>
      </c>
      <c r="AR49">
        <f t="shared" si="23"/>
        <v>6.2589890338679895E-3</v>
      </c>
      <c r="AS49">
        <f t="shared" si="23"/>
        <v>6.1647993350541878E-3</v>
      </c>
      <c r="AT49">
        <f t="shared" si="23"/>
        <v>6.0737195894033872E-3</v>
      </c>
      <c r="AU49">
        <f t="shared" si="23"/>
        <v>5.9857497969155746E-3</v>
      </c>
      <c r="AV49">
        <f t="shared" si="23"/>
        <v>5.9008899575907483E-3</v>
      </c>
      <c r="AW49">
        <f t="shared" si="23"/>
        <v>5.8191400714289162E-3</v>
      </c>
      <c r="AX49">
        <f t="shared" si="23"/>
        <v>5.740500138430079E-3</v>
      </c>
      <c r="AY49">
        <f t="shared" si="23"/>
        <v>5.6649701585942281E-3</v>
      </c>
      <c r="AZ49">
        <f t="shared" si="23"/>
        <v>5.5925501319213713E-3</v>
      </c>
      <c r="BA49">
        <f t="shared" si="23"/>
        <v>5.5232400584115018E-3</v>
      </c>
      <c r="BB49">
        <f t="shared" si="23"/>
        <v>5.4570399380646272E-3</v>
      </c>
      <c r="BC49">
        <f t="shared" si="23"/>
        <v>5.3939497708807458E-3</v>
      </c>
      <c r="BD49">
        <f t="shared" si="23"/>
        <v>5.3339695568598517E-3</v>
      </c>
      <c r="BE49">
        <f t="shared" si="23"/>
        <v>5.2770992960019525E-3</v>
      </c>
      <c r="BF49">
        <f t="shared" si="23"/>
        <v>5.2233389883070466E-3</v>
      </c>
      <c r="BG49">
        <f t="shared" si="23"/>
        <v>5.1726886337751278E-3</v>
      </c>
      <c r="BH49">
        <f t="shared" si="22"/>
        <v>5.1251482324061962E-3</v>
      </c>
      <c r="BI49">
        <f t="shared" si="22"/>
        <v>5.0807177842002596E-3</v>
      </c>
      <c r="BJ49">
        <f t="shared" si="22"/>
        <v>5.0393972891573163E-3</v>
      </c>
      <c r="BK49">
        <f t="shared" si="22"/>
        <v>5.0011867472773679E-3</v>
      </c>
      <c r="BL49">
        <f t="shared" si="22"/>
        <v>4.9660861585604059E-3</v>
      </c>
      <c r="BM49">
        <f t="shared" si="22"/>
        <v>4.934095523006438E-3</v>
      </c>
      <c r="BN49">
        <f t="shared" si="22"/>
        <v>4.9052148406154572E-3</v>
      </c>
      <c r="BO49">
        <f t="shared" si="20"/>
        <v>4.8794441113874714E-3</v>
      </c>
      <c r="BP49">
        <f t="shared" si="20"/>
        <v>4.8567833353224789E-3</v>
      </c>
      <c r="BQ49">
        <f t="shared" si="20"/>
        <v>4.8372325124204736E-3</v>
      </c>
      <c r="BR49">
        <f t="shared" si="20"/>
        <v>4.8207916426814563E-3</v>
      </c>
      <c r="BS49">
        <f t="shared" si="20"/>
        <v>4.8074607261054392E-3</v>
      </c>
      <c r="BT49">
        <f t="shared" si="20"/>
        <v>4.7972397626924092E-3</v>
      </c>
      <c r="BU49">
        <f t="shared" si="20"/>
        <v>4.7901287524423665E-3</v>
      </c>
      <c r="BV49">
        <f t="shared" si="20"/>
        <v>4.7861276953553179E-3</v>
      </c>
      <c r="BW49">
        <f t="shared" si="20"/>
        <v>4.7852365914312711E-3</v>
      </c>
      <c r="BX49">
        <f t="shared" si="20"/>
        <v>4.7874554406702038E-3</v>
      </c>
      <c r="BY49">
        <f t="shared" si="20"/>
        <v>4.7927842430721306E-3</v>
      </c>
      <c r="BZ49">
        <f t="shared" si="20"/>
        <v>4.8012229986370454E-3</v>
      </c>
      <c r="CA49">
        <f t="shared" si="20"/>
        <v>4.8127717073649604E-3</v>
      </c>
      <c r="CB49">
        <f t="shared" si="20"/>
        <v>4.8274303692558557E-3</v>
      </c>
      <c r="CC49">
        <f t="shared" si="20"/>
        <v>4.8451989843097528E-3</v>
      </c>
      <c r="CD49">
        <f t="shared" si="20"/>
        <v>4.8660775525266294E-3</v>
      </c>
      <c r="CE49">
        <f t="shared" si="18"/>
        <v>4.8900660739065148E-3</v>
      </c>
      <c r="CF49">
        <f t="shared" si="18"/>
        <v>4.9171645484493796E-3</v>
      </c>
      <c r="CG49">
        <f t="shared" si="17"/>
        <v>4.9473729761552315E-3</v>
      </c>
      <c r="CH49">
        <f t="shared" si="17"/>
        <v>4.9806913570240845E-3</v>
      </c>
      <c r="CI49">
        <f t="shared" si="17"/>
        <v>5.0171196910559247E-3</v>
      </c>
      <c r="CJ49">
        <f t="shared" si="17"/>
        <v>5.056657978250759E-3</v>
      </c>
      <c r="CK49">
        <f t="shared" si="17"/>
        <v>5.0993062186085814E-3</v>
      </c>
      <c r="CL49">
        <f t="shared" si="17"/>
        <v>5.145064412129397E-3</v>
      </c>
      <c r="CM49">
        <f t="shared" si="17"/>
        <v>5.1939325588132006E-3</v>
      </c>
      <c r="CN49">
        <f t="shared" si="17"/>
        <v>5.2459106586599975E-3</v>
      </c>
      <c r="CO49">
        <f t="shared" si="17"/>
        <v>5.3009987116697885E-3</v>
      </c>
      <c r="CP49">
        <f t="shared" si="17"/>
        <v>5.3591967178425607E-3</v>
      </c>
      <c r="CQ49">
        <f t="shared" si="17"/>
        <v>5.420504677178339E-3</v>
      </c>
      <c r="CR49">
        <f t="shared" si="17"/>
        <v>5.4849225896770994E-3</v>
      </c>
      <c r="CS49">
        <f t="shared" si="17"/>
        <v>5.552450455338853E-3</v>
      </c>
      <c r="CT49">
        <f t="shared" si="17"/>
        <v>5.6230882741636016E-3</v>
      </c>
      <c r="CU49">
        <f t="shared" si="17"/>
        <v>5.6968360461513434E-3</v>
      </c>
      <c r="CV49">
        <f t="shared" si="17"/>
        <v>5.7736937713020655E-3</v>
      </c>
    </row>
    <row r="50" spans="19:100" x14ac:dyDescent="0.2">
      <c r="S50">
        <v>34.700000000000102</v>
      </c>
      <c r="T50">
        <f t="shared" si="21"/>
        <v>9.450675910089747E-3</v>
      </c>
      <c r="U50">
        <f t="shared" si="21"/>
        <v>9.2817521047814221E-3</v>
      </c>
      <c r="V50">
        <f t="shared" si="21"/>
        <v>9.1159382526360931E-3</v>
      </c>
      <c r="W50">
        <f t="shared" si="21"/>
        <v>8.9532343536537565E-3</v>
      </c>
      <c r="X50">
        <f t="shared" si="21"/>
        <v>8.7936404078344139E-3</v>
      </c>
      <c r="Y50">
        <f t="shared" si="21"/>
        <v>8.6371564151780534E-3</v>
      </c>
      <c r="Z50">
        <f t="shared" si="21"/>
        <v>8.4837823756846852E-3</v>
      </c>
      <c r="AA50">
        <f t="shared" si="21"/>
        <v>8.333518289354299E-3</v>
      </c>
      <c r="AB50">
        <f t="shared" si="21"/>
        <v>8.1863641561869191E-3</v>
      </c>
      <c r="AC50">
        <f t="shared" si="21"/>
        <v>8.042319976182535E-3</v>
      </c>
      <c r="AD50">
        <f t="shared" si="21"/>
        <v>7.9013857493411294E-3</v>
      </c>
      <c r="AE50">
        <f t="shared" si="21"/>
        <v>7.7635614756627188E-3</v>
      </c>
      <c r="AF50">
        <f t="shared" si="21"/>
        <v>7.6288471551473024E-3</v>
      </c>
      <c r="AG50">
        <f t="shared" si="21"/>
        <v>7.49724278779488E-3</v>
      </c>
      <c r="AH50">
        <f t="shared" si="21"/>
        <v>7.3687483736054379E-3</v>
      </c>
      <c r="AI50">
        <f t="shared" si="21"/>
        <v>7.2433639125789968E-3</v>
      </c>
      <c r="AJ50">
        <f t="shared" si="19"/>
        <v>7.1210894047155429E-3</v>
      </c>
      <c r="AK50">
        <f t="shared" si="19"/>
        <v>7.0019248500150762E-3</v>
      </c>
      <c r="AL50">
        <f t="shared" si="19"/>
        <v>6.8858702484776105E-3</v>
      </c>
      <c r="AM50">
        <f t="shared" si="19"/>
        <v>6.7729256001031321E-3</v>
      </c>
      <c r="AN50">
        <f t="shared" si="19"/>
        <v>6.6630909048916408E-3</v>
      </c>
      <c r="AO50">
        <f t="shared" si="19"/>
        <v>6.5563661628431497E-3</v>
      </c>
      <c r="AP50">
        <f t="shared" si="19"/>
        <v>6.4527513739576475E-3</v>
      </c>
      <c r="AQ50">
        <f t="shared" si="19"/>
        <v>6.3522465382351307E-3</v>
      </c>
      <c r="AR50">
        <f t="shared" si="23"/>
        <v>6.2548516556756089E-3</v>
      </c>
      <c r="AS50">
        <f t="shared" si="23"/>
        <v>6.1605667262790743E-3</v>
      </c>
      <c r="AT50">
        <f t="shared" si="23"/>
        <v>6.0693917500455408E-3</v>
      </c>
      <c r="AU50">
        <f t="shared" si="23"/>
        <v>5.9813267269749944E-3</v>
      </c>
      <c r="AV50">
        <f t="shared" si="23"/>
        <v>5.8963716570674353E-3</v>
      </c>
      <c r="AW50">
        <f t="shared" si="23"/>
        <v>5.8145265403228702E-3</v>
      </c>
      <c r="AX50">
        <f t="shared" si="23"/>
        <v>5.7357913767412992E-3</v>
      </c>
      <c r="AY50">
        <f t="shared" si="23"/>
        <v>5.6601661663227155E-3</v>
      </c>
      <c r="AZ50">
        <f t="shared" si="23"/>
        <v>5.5876509090671258E-3</v>
      </c>
      <c r="BA50">
        <f t="shared" si="23"/>
        <v>5.5182456049745233E-3</v>
      </c>
      <c r="BB50">
        <f t="shared" si="23"/>
        <v>5.4519502540449141E-3</v>
      </c>
      <c r="BC50">
        <f t="shared" si="23"/>
        <v>5.3887648562782999E-3</v>
      </c>
      <c r="BD50">
        <f t="shared" si="23"/>
        <v>5.3286894116746728E-3</v>
      </c>
      <c r="BE50">
        <f t="shared" si="23"/>
        <v>5.2717239202340399E-3</v>
      </c>
      <c r="BF50">
        <f t="shared" si="23"/>
        <v>5.217868381956401E-3</v>
      </c>
      <c r="BG50">
        <f t="shared" si="23"/>
        <v>5.1671227968417494E-3</v>
      </c>
      <c r="BH50">
        <f t="shared" si="22"/>
        <v>5.1194871648900849E-3</v>
      </c>
      <c r="BI50">
        <f t="shared" si="22"/>
        <v>5.0749614861014146E-3</v>
      </c>
      <c r="BJ50">
        <f t="shared" si="22"/>
        <v>5.0335457604757383E-3</v>
      </c>
      <c r="BK50">
        <f t="shared" si="22"/>
        <v>4.9952399880130562E-3</v>
      </c>
      <c r="BL50">
        <f t="shared" si="22"/>
        <v>4.9600441687133612E-3</v>
      </c>
      <c r="BM50">
        <f t="shared" si="22"/>
        <v>4.9279583025766596E-3</v>
      </c>
      <c r="BN50">
        <f t="shared" si="22"/>
        <v>4.8989823896029459E-3</v>
      </c>
      <c r="BO50">
        <f t="shared" si="20"/>
        <v>4.8731164297922264E-3</v>
      </c>
      <c r="BP50">
        <f t="shared" si="20"/>
        <v>4.8503604231445018E-3</v>
      </c>
      <c r="BQ50">
        <f t="shared" si="20"/>
        <v>4.8307143696597627E-3</v>
      </c>
      <c r="BR50">
        <f t="shared" si="20"/>
        <v>4.8141782693380125E-3</v>
      </c>
      <c r="BS50">
        <f t="shared" si="20"/>
        <v>4.8007521221792616E-3</v>
      </c>
      <c r="BT50">
        <f t="shared" si="20"/>
        <v>4.7904359281834988E-3</v>
      </c>
      <c r="BU50">
        <f t="shared" si="20"/>
        <v>4.7832296873507232E-3</v>
      </c>
      <c r="BV50">
        <f t="shared" si="20"/>
        <v>4.7791333996809416E-3</v>
      </c>
      <c r="BW50">
        <f t="shared" si="20"/>
        <v>4.7781470651741612E-3</v>
      </c>
      <c r="BX50">
        <f t="shared" si="20"/>
        <v>4.7802706838303601E-3</v>
      </c>
      <c r="BY50">
        <f t="shared" si="20"/>
        <v>4.7855042556495548E-3</v>
      </c>
      <c r="BZ50">
        <f t="shared" si="20"/>
        <v>4.793847780631735E-3</v>
      </c>
      <c r="CA50">
        <f t="shared" si="20"/>
        <v>4.805301258776918E-3</v>
      </c>
      <c r="CB50">
        <f t="shared" si="20"/>
        <v>4.8198646900850795E-3</v>
      </c>
      <c r="CC50">
        <f t="shared" si="20"/>
        <v>4.8375380745562437E-3</v>
      </c>
      <c r="CD50">
        <f t="shared" si="20"/>
        <v>4.8583214121903865E-3</v>
      </c>
      <c r="CE50">
        <f t="shared" si="18"/>
        <v>4.882214702987539E-3</v>
      </c>
      <c r="CF50">
        <f t="shared" si="18"/>
        <v>4.90921794694767E-3</v>
      </c>
      <c r="CG50">
        <f t="shared" si="18"/>
        <v>4.9393311440707891E-3</v>
      </c>
      <c r="CH50">
        <f t="shared" si="18"/>
        <v>4.9725542943569092E-3</v>
      </c>
      <c r="CI50">
        <f t="shared" si="18"/>
        <v>5.0088873978060156E-3</v>
      </c>
      <c r="CJ50">
        <f t="shared" si="18"/>
        <v>5.0483304544181179E-3</v>
      </c>
      <c r="CK50">
        <f t="shared" si="18"/>
        <v>5.0908834641932056E-3</v>
      </c>
      <c r="CL50">
        <f t="shared" si="18"/>
        <v>5.1365464271312892E-3</v>
      </c>
      <c r="CM50">
        <f t="shared" si="18"/>
        <v>5.1853193432323582E-3</v>
      </c>
      <c r="CN50">
        <f t="shared" si="18"/>
        <v>5.2372022124964231E-3</v>
      </c>
      <c r="CO50">
        <f t="shared" si="18"/>
        <v>5.2921950349234812E-3</v>
      </c>
      <c r="CP50">
        <f t="shared" si="18"/>
        <v>5.3502978105135195E-3</v>
      </c>
      <c r="CQ50">
        <f t="shared" si="18"/>
        <v>5.411510539266565E-3</v>
      </c>
      <c r="CR50">
        <f t="shared" si="18"/>
        <v>5.4758332211825916E-3</v>
      </c>
      <c r="CS50">
        <f t="shared" si="18"/>
        <v>5.5432658562616123E-3</v>
      </c>
      <c r="CT50">
        <f t="shared" ref="CG50:CV66" si="24">$H$3+$H$4*CT$2+$H$5*CT$2*CT$2+$H$6*$S50+$H$7*$S50*$S50+$H$8*CT$2*$S50</f>
        <v>5.6138084445036271E-3</v>
      </c>
      <c r="CU50">
        <f t="shared" si="24"/>
        <v>5.6874609859086361E-3</v>
      </c>
      <c r="CV50">
        <f t="shared" si="24"/>
        <v>5.7642234804766244E-3</v>
      </c>
    </row>
    <row r="51" spans="19:100" x14ac:dyDescent="0.2">
      <c r="S51">
        <v>34.800000000000097</v>
      </c>
      <c r="T51">
        <f t="shared" si="21"/>
        <v>9.449724519609775E-3</v>
      </c>
      <c r="U51">
        <f t="shared" si="21"/>
        <v>9.2807054837187181E-3</v>
      </c>
      <c r="V51">
        <f t="shared" si="21"/>
        <v>9.1147964009906535E-3</v>
      </c>
      <c r="W51">
        <f t="shared" si="21"/>
        <v>8.9519972714255849E-3</v>
      </c>
      <c r="X51">
        <f t="shared" si="21"/>
        <v>8.7923080950235103E-3</v>
      </c>
      <c r="Y51">
        <f t="shared" si="21"/>
        <v>8.635728871784416E-3</v>
      </c>
      <c r="Z51">
        <f t="shared" si="21"/>
        <v>8.4822596017083141E-3</v>
      </c>
      <c r="AA51">
        <f t="shared" si="21"/>
        <v>8.3319002847951941E-3</v>
      </c>
      <c r="AB51">
        <f t="shared" si="21"/>
        <v>8.1846509210450821E-3</v>
      </c>
      <c r="AC51">
        <f t="shared" si="21"/>
        <v>8.0405115104579643E-3</v>
      </c>
      <c r="AD51">
        <f t="shared" si="21"/>
        <v>7.8994820530338267E-3</v>
      </c>
      <c r="AE51">
        <f t="shared" si="21"/>
        <v>7.7615625487726823E-3</v>
      </c>
      <c r="AF51">
        <f t="shared" si="21"/>
        <v>7.6267529976745321E-3</v>
      </c>
      <c r="AG51">
        <f t="shared" si="21"/>
        <v>7.4950533997393768E-3</v>
      </c>
      <c r="AH51">
        <f t="shared" si="21"/>
        <v>7.3664637549672009E-3</v>
      </c>
      <c r="AI51">
        <f t="shared" si="21"/>
        <v>7.2409840633580269E-3</v>
      </c>
      <c r="AJ51">
        <f t="shared" si="19"/>
        <v>7.1186143249118393E-3</v>
      </c>
      <c r="AK51">
        <f t="shared" si="19"/>
        <v>6.9993545396286397E-3</v>
      </c>
      <c r="AL51">
        <f t="shared" si="19"/>
        <v>6.8832047075084411E-3</v>
      </c>
      <c r="AM51">
        <f t="shared" si="19"/>
        <v>6.7701648285512289E-3</v>
      </c>
      <c r="AN51">
        <f t="shared" si="19"/>
        <v>6.6602349027570047E-3</v>
      </c>
      <c r="AO51">
        <f t="shared" si="19"/>
        <v>6.5534149301257807E-3</v>
      </c>
      <c r="AP51">
        <f t="shared" si="19"/>
        <v>6.4497049106575447E-3</v>
      </c>
      <c r="AQ51">
        <f t="shared" si="19"/>
        <v>6.3491048443522951E-3</v>
      </c>
      <c r="AR51">
        <f t="shared" si="23"/>
        <v>6.2516147312100404E-3</v>
      </c>
      <c r="AS51">
        <f t="shared" si="23"/>
        <v>6.1572345712307729E-3</v>
      </c>
      <c r="AT51">
        <f t="shared" si="23"/>
        <v>6.0659643644145056E-3</v>
      </c>
      <c r="AU51">
        <f t="shared" si="23"/>
        <v>5.9778041107612263E-3</v>
      </c>
      <c r="AV51">
        <f t="shared" si="23"/>
        <v>5.8927538102709334E-3</v>
      </c>
      <c r="AW51">
        <f t="shared" si="23"/>
        <v>5.8108134629436354E-3</v>
      </c>
      <c r="AX51">
        <f t="shared" si="23"/>
        <v>5.7319830687793307E-3</v>
      </c>
      <c r="AY51">
        <f t="shared" si="23"/>
        <v>5.656262627778014E-3</v>
      </c>
      <c r="AZ51">
        <f t="shared" si="23"/>
        <v>5.5836521399396915E-3</v>
      </c>
      <c r="BA51">
        <f t="shared" si="23"/>
        <v>5.5141516052643553E-3</v>
      </c>
      <c r="BB51">
        <f t="shared" si="23"/>
        <v>5.4477610237520131E-3</v>
      </c>
      <c r="BC51">
        <f t="shared" si="23"/>
        <v>5.384480395402666E-3</v>
      </c>
      <c r="BD51">
        <f t="shared" si="23"/>
        <v>5.324309720216306E-3</v>
      </c>
      <c r="BE51">
        <f t="shared" si="23"/>
        <v>5.2672489981929393E-3</v>
      </c>
      <c r="BF51">
        <f t="shared" si="23"/>
        <v>5.2132982293325676E-3</v>
      </c>
      <c r="BG51">
        <f t="shared" si="23"/>
        <v>5.1624574136351822E-3</v>
      </c>
      <c r="BH51">
        <f t="shared" si="22"/>
        <v>5.1147265511007848E-3</v>
      </c>
      <c r="BI51">
        <f t="shared" si="22"/>
        <v>5.0701056417293815E-3</v>
      </c>
      <c r="BJ51">
        <f t="shared" si="22"/>
        <v>5.0285946855209715E-3</v>
      </c>
      <c r="BK51">
        <f t="shared" si="22"/>
        <v>4.9901936824755556E-3</v>
      </c>
      <c r="BL51">
        <f t="shared" si="22"/>
        <v>4.9549026325931278E-3</v>
      </c>
      <c r="BM51">
        <f t="shared" si="22"/>
        <v>4.9227215358736941E-3</v>
      </c>
      <c r="BN51">
        <f t="shared" si="22"/>
        <v>4.8936503923172467E-3</v>
      </c>
      <c r="BO51">
        <f t="shared" si="20"/>
        <v>4.8676892019237942E-3</v>
      </c>
      <c r="BP51">
        <f t="shared" si="20"/>
        <v>4.844837964693335E-3</v>
      </c>
      <c r="BQ51">
        <f t="shared" si="20"/>
        <v>4.8250966806258639E-3</v>
      </c>
      <c r="BR51">
        <f t="shared" si="20"/>
        <v>4.8084653497213799E-3</v>
      </c>
      <c r="BS51">
        <f t="shared" si="20"/>
        <v>4.7949439719798962E-3</v>
      </c>
      <c r="BT51">
        <f t="shared" si="20"/>
        <v>4.7845325474013996E-3</v>
      </c>
      <c r="BU51">
        <f t="shared" si="20"/>
        <v>4.777231075985891E-3</v>
      </c>
      <c r="BV51">
        <f t="shared" si="20"/>
        <v>4.7730395577333766E-3</v>
      </c>
      <c r="BW51">
        <f t="shared" si="20"/>
        <v>4.7719579926438632E-3</v>
      </c>
      <c r="BX51">
        <f t="shared" si="20"/>
        <v>4.7739863807173284E-3</v>
      </c>
      <c r="BY51">
        <f t="shared" si="20"/>
        <v>4.7791247219537893E-3</v>
      </c>
      <c r="BZ51">
        <f t="shared" si="20"/>
        <v>4.7873730163532375E-3</v>
      </c>
      <c r="CA51">
        <f t="shared" si="20"/>
        <v>4.7987312639156867E-3</v>
      </c>
      <c r="CB51">
        <f t="shared" si="20"/>
        <v>4.8131994646411162E-3</v>
      </c>
      <c r="CC51">
        <f t="shared" si="20"/>
        <v>4.8307776185295458E-3</v>
      </c>
      <c r="CD51">
        <f t="shared" si="20"/>
        <v>4.8514657255809557E-3</v>
      </c>
      <c r="CE51">
        <f t="shared" si="18"/>
        <v>4.8752637857953744E-3</v>
      </c>
      <c r="CF51">
        <f t="shared" si="18"/>
        <v>4.9021717991727734E-3</v>
      </c>
      <c r="CG51">
        <f t="shared" si="24"/>
        <v>4.9321897657131578E-3</v>
      </c>
      <c r="CH51">
        <f t="shared" si="24"/>
        <v>4.965317685416545E-3</v>
      </c>
      <c r="CI51">
        <f t="shared" si="24"/>
        <v>5.0015555582829194E-3</v>
      </c>
      <c r="CJ51">
        <f t="shared" si="24"/>
        <v>5.0409033843122879E-3</v>
      </c>
      <c r="CK51">
        <f t="shared" si="24"/>
        <v>5.0833611635046428E-3</v>
      </c>
      <c r="CL51">
        <f t="shared" si="24"/>
        <v>5.1289288958599917E-3</v>
      </c>
      <c r="CM51">
        <f t="shared" si="24"/>
        <v>5.1776065813783287E-3</v>
      </c>
      <c r="CN51">
        <f t="shared" si="24"/>
        <v>5.2293942200596598E-3</v>
      </c>
      <c r="CO51">
        <f t="shared" si="24"/>
        <v>5.284291811903985E-3</v>
      </c>
      <c r="CP51">
        <f t="shared" si="24"/>
        <v>5.3422993569112896E-3</v>
      </c>
      <c r="CQ51">
        <f t="shared" si="24"/>
        <v>5.4034168550816022E-3</v>
      </c>
      <c r="CR51">
        <f t="shared" si="24"/>
        <v>5.4676443064148959E-3</v>
      </c>
      <c r="CS51">
        <f t="shared" si="24"/>
        <v>5.5349817109111837E-3</v>
      </c>
      <c r="CT51">
        <f t="shared" si="24"/>
        <v>5.6054290685704647E-3</v>
      </c>
      <c r="CU51">
        <f t="shared" si="24"/>
        <v>5.6789863793927399E-3</v>
      </c>
      <c r="CV51">
        <f t="shared" si="24"/>
        <v>5.7556536433779962E-3</v>
      </c>
    </row>
    <row r="52" spans="19:100" x14ac:dyDescent="0.2">
      <c r="S52">
        <v>34.900000000000098</v>
      </c>
      <c r="T52">
        <f t="shared" si="21"/>
        <v>9.449673582856628E-3</v>
      </c>
      <c r="U52">
        <f t="shared" si="21"/>
        <v>9.2805593163828373E-3</v>
      </c>
      <c r="V52">
        <f t="shared" si="21"/>
        <v>9.1145550030720408E-3</v>
      </c>
      <c r="W52">
        <f t="shared" si="21"/>
        <v>8.9516606429242383E-3</v>
      </c>
      <c r="X52">
        <f t="shared" si="21"/>
        <v>8.79187623593943E-3</v>
      </c>
      <c r="Y52">
        <f t="shared" si="21"/>
        <v>8.6352017821176019E-3</v>
      </c>
      <c r="Z52">
        <f t="shared" si="21"/>
        <v>8.4816372814587697E-3</v>
      </c>
      <c r="AA52">
        <f t="shared" si="21"/>
        <v>8.331182733962916E-3</v>
      </c>
      <c r="AB52">
        <f t="shared" si="21"/>
        <v>8.1838381396300702E-3</v>
      </c>
      <c r="AC52">
        <f t="shared" si="21"/>
        <v>8.0396034984602186E-3</v>
      </c>
      <c r="AD52">
        <f t="shared" si="21"/>
        <v>7.8984788104533472E-3</v>
      </c>
      <c r="AE52">
        <f t="shared" si="21"/>
        <v>7.76046407560947E-3</v>
      </c>
      <c r="AF52">
        <f t="shared" si="21"/>
        <v>7.6255592939285868E-3</v>
      </c>
      <c r="AG52">
        <f t="shared" si="21"/>
        <v>7.4937644654106978E-3</v>
      </c>
      <c r="AH52">
        <f t="shared" si="21"/>
        <v>7.365079590055789E-3</v>
      </c>
      <c r="AI52">
        <f t="shared" si="21"/>
        <v>7.2395046678638822E-3</v>
      </c>
      <c r="AJ52">
        <f t="shared" si="19"/>
        <v>7.1170396988349616E-3</v>
      </c>
      <c r="AK52">
        <f t="shared" si="19"/>
        <v>6.9976846829690282E-3</v>
      </c>
      <c r="AL52">
        <f t="shared" si="19"/>
        <v>6.8814396202660959E-3</v>
      </c>
      <c r="AM52">
        <f t="shared" si="19"/>
        <v>6.7683045107261516E-3</v>
      </c>
      <c r="AN52">
        <f t="shared" si="19"/>
        <v>6.6582793543491937E-3</v>
      </c>
      <c r="AO52">
        <f t="shared" si="19"/>
        <v>6.5513641511352368E-3</v>
      </c>
      <c r="AP52">
        <f t="shared" si="19"/>
        <v>6.447558901084267E-3</v>
      </c>
      <c r="AQ52">
        <f t="shared" si="19"/>
        <v>6.3468636041962845E-3</v>
      </c>
      <c r="AR52">
        <f t="shared" si="23"/>
        <v>6.249278260471296E-3</v>
      </c>
      <c r="AS52">
        <f t="shared" si="23"/>
        <v>6.1548028699092957E-3</v>
      </c>
      <c r="AT52">
        <f t="shared" si="23"/>
        <v>6.0634374325102955E-3</v>
      </c>
      <c r="AU52">
        <f t="shared" si="23"/>
        <v>5.9751819482742824E-3</v>
      </c>
      <c r="AV52">
        <f t="shared" si="23"/>
        <v>5.8900364172012566E-3</v>
      </c>
      <c r="AW52">
        <f t="shared" si="23"/>
        <v>5.8080008392912249E-3</v>
      </c>
      <c r="AX52">
        <f t="shared" si="23"/>
        <v>5.7290752145441881E-3</v>
      </c>
      <c r="AY52">
        <f t="shared" si="23"/>
        <v>5.6532595429601377E-3</v>
      </c>
      <c r="AZ52">
        <f t="shared" si="23"/>
        <v>5.5805538245390814E-3</v>
      </c>
      <c r="BA52">
        <f t="shared" si="23"/>
        <v>5.5109580592810122E-3</v>
      </c>
      <c r="BB52">
        <f t="shared" si="23"/>
        <v>5.4444722471859372E-3</v>
      </c>
      <c r="BC52">
        <f t="shared" si="23"/>
        <v>5.3810963882538563E-3</v>
      </c>
      <c r="BD52">
        <f t="shared" si="23"/>
        <v>5.3208304824847626E-3</v>
      </c>
      <c r="BE52">
        <f t="shared" si="23"/>
        <v>5.2636745298786638E-3</v>
      </c>
      <c r="BF52">
        <f t="shared" si="23"/>
        <v>5.2096285304355583E-3</v>
      </c>
      <c r="BG52">
        <f t="shared" si="23"/>
        <v>5.15869248415544E-3</v>
      </c>
      <c r="BH52">
        <f t="shared" si="22"/>
        <v>5.1108663910383097E-3</v>
      </c>
      <c r="BI52">
        <f t="shared" si="22"/>
        <v>5.0661502510841727E-3</v>
      </c>
      <c r="BJ52">
        <f t="shared" si="22"/>
        <v>5.0245440642930298E-3</v>
      </c>
      <c r="BK52">
        <f t="shared" si="22"/>
        <v>4.986047830664881E-3</v>
      </c>
      <c r="BL52">
        <f t="shared" si="22"/>
        <v>4.9506615501997194E-3</v>
      </c>
      <c r="BM52">
        <f t="shared" si="22"/>
        <v>4.9183852228975519E-3</v>
      </c>
      <c r="BN52">
        <f t="shared" si="22"/>
        <v>4.8892188487583716E-3</v>
      </c>
      <c r="BO52">
        <f t="shared" si="20"/>
        <v>4.8631624277821863E-3</v>
      </c>
      <c r="BP52">
        <f t="shared" si="20"/>
        <v>4.8402159599689942E-3</v>
      </c>
      <c r="BQ52">
        <f t="shared" si="20"/>
        <v>4.8203794453187893E-3</v>
      </c>
      <c r="BR52">
        <f t="shared" si="20"/>
        <v>4.8036528838315724E-3</v>
      </c>
      <c r="BS52">
        <f t="shared" si="20"/>
        <v>4.7900362755073558E-3</v>
      </c>
      <c r="BT52">
        <f t="shared" si="20"/>
        <v>4.7795296203461263E-3</v>
      </c>
      <c r="BU52">
        <f t="shared" si="20"/>
        <v>4.772132918347884E-3</v>
      </c>
      <c r="BV52">
        <f t="shared" si="20"/>
        <v>4.7678461695126358E-3</v>
      </c>
      <c r="BW52">
        <f t="shared" si="20"/>
        <v>4.7666693738403886E-3</v>
      </c>
      <c r="BX52">
        <f t="shared" si="20"/>
        <v>4.7686025313311217E-3</v>
      </c>
      <c r="BY52">
        <f t="shared" si="20"/>
        <v>4.7736456419848489E-3</v>
      </c>
      <c r="BZ52">
        <f t="shared" si="20"/>
        <v>4.7817987058015633E-3</v>
      </c>
      <c r="CA52">
        <f t="shared" si="20"/>
        <v>4.7930617227812796E-3</v>
      </c>
      <c r="CB52">
        <f t="shared" si="20"/>
        <v>4.8074346929239762E-3</v>
      </c>
      <c r="CC52">
        <f t="shared" si="20"/>
        <v>4.8249176162296729E-3</v>
      </c>
      <c r="CD52">
        <f t="shared" si="20"/>
        <v>4.8455104926983499E-3</v>
      </c>
      <c r="CE52">
        <f t="shared" si="18"/>
        <v>4.8692133223300349E-3</v>
      </c>
      <c r="CF52">
        <f t="shared" si="18"/>
        <v>4.8960261051247001E-3</v>
      </c>
      <c r="CG52">
        <f t="shared" si="24"/>
        <v>4.9259488410823525E-3</v>
      </c>
      <c r="CH52">
        <f t="shared" si="24"/>
        <v>4.958981530203006E-3</v>
      </c>
      <c r="CI52">
        <f t="shared" si="24"/>
        <v>4.9951241724866466E-3</v>
      </c>
      <c r="CJ52">
        <f t="shared" si="24"/>
        <v>5.0343767679332813E-3</v>
      </c>
      <c r="CK52">
        <f t="shared" si="24"/>
        <v>5.0767393165429033E-3</v>
      </c>
      <c r="CL52">
        <f t="shared" si="24"/>
        <v>5.1222118183155202E-3</v>
      </c>
      <c r="CM52">
        <f t="shared" si="24"/>
        <v>5.1707942732511234E-3</v>
      </c>
      <c r="CN52">
        <f t="shared" si="24"/>
        <v>5.2224866813497216E-3</v>
      </c>
      <c r="CO52">
        <f t="shared" si="24"/>
        <v>5.277289042611313E-3</v>
      </c>
      <c r="CP52">
        <f t="shared" si="24"/>
        <v>5.3352013570358847E-3</v>
      </c>
      <c r="CQ52">
        <f t="shared" si="24"/>
        <v>5.3962236246234644E-3</v>
      </c>
      <c r="CR52">
        <f t="shared" si="24"/>
        <v>5.4603558453740243E-3</v>
      </c>
      <c r="CS52">
        <f t="shared" si="24"/>
        <v>5.5275980192875784E-3</v>
      </c>
      <c r="CT52">
        <f t="shared" si="24"/>
        <v>5.5979501463641265E-3</v>
      </c>
      <c r="CU52">
        <f t="shared" si="24"/>
        <v>5.6714122266036688E-3</v>
      </c>
      <c r="CV52">
        <f t="shared" si="24"/>
        <v>5.7479842600061922E-3</v>
      </c>
    </row>
    <row r="53" spans="19:100" x14ac:dyDescent="0.2">
      <c r="S53">
        <v>35.000000000000099</v>
      </c>
      <c r="T53">
        <f t="shared" si="21"/>
        <v>9.450523099830313E-3</v>
      </c>
      <c r="U53">
        <f t="shared" si="21"/>
        <v>9.2813136027737886E-3</v>
      </c>
      <c r="V53">
        <f t="shared" si="21"/>
        <v>9.11521405888026E-3</v>
      </c>
      <c r="W53">
        <f t="shared" si="21"/>
        <v>8.9522244681497238E-3</v>
      </c>
      <c r="X53">
        <f t="shared" si="21"/>
        <v>8.7923448305821834E-3</v>
      </c>
      <c r="Y53">
        <f t="shared" si="21"/>
        <v>8.6355751461776216E-3</v>
      </c>
      <c r="Z53">
        <f t="shared" si="21"/>
        <v>8.4819154149360539E-3</v>
      </c>
      <c r="AA53">
        <f t="shared" si="21"/>
        <v>8.3313656368574681E-3</v>
      </c>
      <c r="AB53">
        <f t="shared" si="21"/>
        <v>8.1839258119418886E-3</v>
      </c>
      <c r="AC53">
        <f t="shared" si="21"/>
        <v>8.039595940189305E-3</v>
      </c>
      <c r="AD53">
        <f t="shared" si="21"/>
        <v>7.8983760215996998E-3</v>
      </c>
      <c r="AE53">
        <f t="shared" si="21"/>
        <v>7.7602660561730897E-3</v>
      </c>
      <c r="AF53">
        <f t="shared" si="21"/>
        <v>7.6252660439094736E-3</v>
      </c>
      <c r="AG53">
        <f t="shared" si="21"/>
        <v>7.4933759848088517E-3</v>
      </c>
      <c r="AH53">
        <f t="shared" si="21"/>
        <v>7.36459587887121E-3</v>
      </c>
      <c r="AI53">
        <f t="shared" si="21"/>
        <v>7.2389257260965685E-3</v>
      </c>
      <c r="AJ53">
        <f t="shared" si="19"/>
        <v>7.1163655264849151E-3</v>
      </c>
      <c r="AK53">
        <f t="shared" si="19"/>
        <v>6.9969152800362488E-3</v>
      </c>
      <c r="AL53">
        <f t="shared" si="19"/>
        <v>6.8805749867505836E-3</v>
      </c>
      <c r="AM53">
        <f t="shared" si="19"/>
        <v>6.7673446466279055E-3</v>
      </c>
      <c r="AN53">
        <f t="shared" si="19"/>
        <v>6.6572242596682138E-3</v>
      </c>
      <c r="AO53">
        <f t="shared" si="19"/>
        <v>6.5502138258715249E-3</v>
      </c>
      <c r="AP53">
        <f t="shared" si="19"/>
        <v>6.4463133452378214E-3</v>
      </c>
      <c r="AQ53">
        <f t="shared" si="19"/>
        <v>6.3455228177671059E-3</v>
      </c>
      <c r="AR53">
        <f t="shared" si="23"/>
        <v>6.2478422434593846E-3</v>
      </c>
      <c r="AS53">
        <f t="shared" si="23"/>
        <v>6.1532716223146504E-3</v>
      </c>
      <c r="AT53">
        <f t="shared" si="23"/>
        <v>6.0618109543329173E-3</v>
      </c>
      <c r="AU53">
        <f t="shared" si="23"/>
        <v>5.9734602395141705E-3</v>
      </c>
      <c r="AV53">
        <f t="shared" si="23"/>
        <v>5.8882194778584118E-3</v>
      </c>
      <c r="AW53">
        <f t="shared" si="23"/>
        <v>5.8060886693656472E-3</v>
      </c>
      <c r="AX53">
        <f t="shared" si="23"/>
        <v>5.7270678140358758E-3</v>
      </c>
      <c r="AY53">
        <f t="shared" si="23"/>
        <v>5.6511569118690933E-3</v>
      </c>
      <c r="AZ53">
        <f t="shared" si="23"/>
        <v>5.5783559628653032E-3</v>
      </c>
      <c r="BA53">
        <f t="shared" si="23"/>
        <v>5.5086649670245012E-3</v>
      </c>
      <c r="BB53">
        <f t="shared" si="23"/>
        <v>5.4420839243466933E-3</v>
      </c>
      <c r="BC53">
        <f t="shared" si="23"/>
        <v>5.3786128348318795E-3</v>
      </c>
      <c r="BD53">
        <f t="shared" si="23"/>
        <v>5.3182516984800528E-3</v>
      </c>
      <c r="BE53">
        <f t="shared" si="23"/>
        <v>5.2610005152912195E-3</v>
      </c>
      <c r="BF53">
        <f t="shared" si="23"/>
        <v>5.2068592852653811E-3</v>
      </c>
      <c r="BG53">
        <f t="shared" si="23"/>
        <v>5.1558280084025299E-3</v>
      </c>
      <c r="BH53">
        <f t="shared" si="22"/>
        <v>5.1079066847026658E-3</v>
      </c>
      <c r="BI53">
        <f t="shared" si="22"/>
        <v>5.0630953141657959E-3</v>
      </c>
      <c r="BJ53">
        <f t="shared" si="22"/>
        <v>5.0213938967919192E-3</v>
      </c>
      <c r="BK53">
        <f t="shared" si="22"/>
        <v>4.9828024325810375E-3</v>
      </c>
      <c r="BL53">
        <f t="shared" si="22"/>
        <v>4.947320921533143E-3</v>
      </c>
      <c r="BM53">
        <f t="shared" si="22"/>
        <v>4.9149493636482426E-3</v>
      </c>
      <c r="BN53">
        <f t="shared" si="22"/>
        <v>4.8856877589263294E-3</v>
      </c>
      <c r="BO53">
        <f t="shared" si="20"/>
        <v>4.8595361073674103E-3</v>
      </c>
      <c r="BP53">
        <f t="shared" si="20"/>
        <v>4.8364944089714854E-3</v>
      </c>
      <c r="BQ53">
        <f t="shared" si="20"/>
        <v>4.8165626637385467E-3</v>
      </c>
      <c r="BR53">
        <f t="shared" si="20"/>
        <v>4.7997408716685961E-3</v>
      </c>
      <c r="BS53">
        <f t="shared" si="20"/>
        <v>4.7860290327616465E-3</v>
      </c>
      <c r="BT53">
        <f t="shared" si="20"/>
        <v>4.7754271470176841E-3</v>
      </c>
      <c r="BU53">
        <f t="shared" si="20"/>
        <v>4.7679352144367089E-3</v>
      </c>
      <c r="BV53">
        <f t="shared" si="20"/>
        <v>4.7635532350187269E-3</v>
      </c>
      <c r="BW53">
        <f t="shared" si="20"/>
        <v>4.7622812087637478E-3</v>
      </c>
      <c r="BX53">
        <f t="shared" si="20"/>
        <v>4.7641191356717471E-3</v>
      </c>
      <c r="BY53">
        <f t="shared" si="20"/>
        <v>4.7690670157427405E-3</v>
      </c>
      <c r="BZ53">
        <f t="shared" si="20"/>
        <v>4.777124848976722E-3</v>
      </c>
      <c r="CA53">
        <f t="shared" si="20"/>
        <v>4.7882926353737046E-3</v>
      </c>
      <c r="CB53">
        <f t="shared" si="20"/>
        <v>4.8025703749336682E-3</v>
      </c>
      <c r="CC53">
        <f t="shared" si="20"/>
        <v>4.8199580676566312E-3</v>
      </c>
      <c r="CD53">
        <f t="shared" si="20"/>
        <v>4.8404557135425753E-3</v>
      </c>
      <c r="CE53">
        <f t="shared" si="18"/>
        <v>4.8640633125915274E-3</v>
      </c>
      <c r="CF53">
        <f t="shared" si="18"/>
        <v>4.8907808648034588E-3</v>
      </c>
      <c r="CG53">
        <f t="shared" si="24"/>
        <v>4.9206083701783783E-3</v>
      </c>
      <c r="CH53">
        <f t="shared" si="24"/>
        <v>4.9535458287162989E-3</v>
      </c>
      <c r="CI53">
        <f t="shared" si="24"/>
        <v>4.9895932404172057E-3</v>
      </c>
      <c r="CJ53">
        <f t="shared" si="24"/>
        <v>5.0287506052811085E-3</v>
      </c>
      <c r="CK53">
        <f t="shared" si="24"/>
        <v>5.0710179233079966E-3</v>
      </c>
      <c r="CL53">
        <f t="shared" si="24"/>
        <v>5.1163951944978798E-3</v>
      </c>
      <c r="CM53">
        <f t="shared" si="24"/>
        <v>5.1648824188507501E-3</v>
      </c>
      <c r="CN53">
        <f t="shared" si="24"/>
        <v>5.2164795963666154E-3</v>
      </c>
      <c r="CO53">
        <f t="shared" si="24"/>
        <v>5.2711867270454731E-3</v>
      </c>
      <c r="CP53">
        <f t="shared" si="24"/>
        <v>5.3290038108873118E-3</v>
      </c>
      <c r="CQ53">
        <f t="shared" si="24"/>
        <v>5.3899308478921586E-3</v>
      </c>
      <c r="CR53">
        <f t="shared" si="24"/>
        <v>5.4539678380599848E-3</v>
      </c>
      <c r="CS53">
        <f t="shared" si="24"/>
        <v>5.5211147813908059E-3</v>
      </c>
      <c r="CT53">
        <f t="shared" si="24"/>
        <v>5.5913716778846212E-3</v>
      </c>
      <c r="CU53">
        <f t="shared" si="24"/>
        <v>5.6647385275414297E-3</v>
      </c>
      <c r="CV53">
        <f t="shared" si="24"/>
        <v>5.7412153303612202E-3</v>
      </c>
    </row>
    <row r="54" spans="19:100" x14ac:dyDescent="0.2">
      <c r="S54">
        <v>35.100000000000101</v>
      </c>
      <c r="T54">
        <f t="shared" si="21"/>
        <v>9.4522730705308023E-3</v>
      </c>
      <c r="U54">
        <f t="shared" si="21"/>
        <v>9.2829683428915458E-3</v>
      </c>
      <c r="V54">
        <f t="shared" si="21"/>
        <v>9.1167735684152835E-3</v>
      </c>
      <c r="W54">
        <f t="shared" si="21"/>
        <v>8.9536887471020135E-3</v>
      </c>
      <c r="X54">
        <f t="shared" si="21"/>
        <v>8.7937138789517394E-3</v>
      </c>
      <c r="Y54">
        <f t="shared" si="21"/>
        <v>8.6368489639644455E-3</v>
      </c>
      <c r="Z54">
        <f t="shared" si="21"/>
        <v>8.4830940021401458E-3</v>
      </c>
      <c r="AA54">
        <f t="shared" si="21"/>
        <v>8.3324489934788245E-3</v>
      </c>
      <c r="AB54">
        <f t="shared" si="21"/>
        <v>8.184913937980513E-3</v>
      </c>
      <c r="AC54">
        <f t="shared" si="21"/>
        <v>8.0404888356451956E-3</v>
      </c>
      <c r="AD54">
        <f t="shared" si="21"/>
        <v>7.8991736864728566E-3</v>
      </c>
      <c r="AE54">
        <f t="shared" si="21"/>
        <v>7.7609684904635136E-3</v>
      </c>
      <c r="AF54">
        <f t="shared" si="21"/>
        <v>7.6258732476171646E-3</v>
      </c>
      <c r="AG54">
        <f t="shared" si="21"/>
        <v>7.493887957933809E-3</v>
      </c>
      <c r="AH54">
        <f t="shared" si="21"/>
        <v>7.3650126214134344E-3</v>
      </c>
      <c r="AI54">
        <f t="shared" si="21"/>
        <v>7.23924723805606E-3</v>
      </c>
      <c r="AJ54">
        <f t="shared" si="19"/>
        <v>7.1165918078616736E-3</v>
      </c>
      <c r="AK54">
        <f t="shared" si="19"/>
        <v>6.9970463308302736E-3</v>
      </c>
      <c r="AL54">
        <f t="shared" si="19"/>
        <v>6.8806108069618746E-3</v>
      </c>
      <c r="AM54">
        <f t="shared" si="19"/>
        <v>6.7672852362564637E-3</v>
      </c>
      <c r="AN54">
        <f t="shared" si="19"/>
        <v>6.6570696187140399E-3</v>
      </c>
      <c r="AO54">
        <f t="shared" si="19"/>
        <v>6.5499639543346163E-3</v>
      </c>
      <c r="AP54">
        <f t="shared" si="19"/>
        <v>6.4459682431181799E-3</v>
      </c>
      <c r="AQ54">
        <f t="shared" si="19"/>
        <v>6.3450824850647316E-3</v>
      </c>
      <c r="AR54">
        <f t="shared" si="23"/>
        <v>6.2473066801742765E-3</v>
      </c>
      <c r="AS54">
        <f t="shared" si="23"/>
        <v>6.1526408284468094E-3</v>
      </c>
      <c r="AT54">
        <f t="shared" si="23"/>
        <v>6.0610849298823426E-3</v>
      </c>
      <c r="AU54">
        <f t="shared" si="23"/>
        <v>5.9726389844808637E-3</v>
      </c>
      <c r="AV54">
        <f t="shared" si="23"/>
        <v>5.8873029922423712E-3</v>
      </c>
      <c r="AW54">
        <f t="shared" si="23"/>
        <v>5.8050769531668728E-3</v>
      </c>
      <c r="AX54">
        <f t="shared" si="23"/>
        <v>5.7259608672543694E-3</v>
      </c>
      <c r="AY54">
        <f t="shared" si="23"/>
        <v>5.6499547345048532E-3</v>
      </c>
      <c r="AZ54">
        <f t="shared" si="23"/>
        <v>5.5770585549183302E-3</v>
      </c>
      <c r="BA54">
        <f t="shared" si="23"/>
        <v>5.5072723284947944E-3</v>
      </c>
      <c r="BB54">
        <f t="shared" si="23"/>
        <v>5.4405960552342536E-3</v>
      </c>
      <c r="BC54">
        <f t="shared" si="23"/>
        <v>5.377029735136706E-3</v>
      </c>
      <c r="BD54">
        <f t="shared" si="23"/>
        <v>5.3165733682021456E-3</v>
      </c>
      <c r="BE54">
        <f t="shared" si="23"/>
        <v>5.2592269544305802E-3</v>
      </c>
      <c r="BF54">
        <f t="shared" si="23"/>
        <v>5.2049904938220089E-3</v>
      </c>
      <c r="BG54">
        <f t="shared" si="23"/>
        <v>5.153863986376424E-3</v>
      </c>
      <c r="BH54">
        <f t="shared" si="22"/>
        <v>5.1058474320938262E-3</v>
      </c>
      <c r="BI54">
        <f t="shared" si="22"/>
        <v>5.0609408309742233E-3</v>
      </c>
      <c r="BJ54">
        <f t="shared" si="22"/>
        <v>5.0191441830176138E-3</v>
      </c>
      <c r="BK54">
        <f t="shared" si="22"/>
        <v>4.9804574882239992E-3</v>
      </c>
      <c r="BL54">
        <f t="shared" si="22"/>
        <v>4.9448807465933709E-3</v>
      </c>
      <c r="BM54">
        <f t="shared" si="22"/>
        <v>4.9124139581257368E-3</v>
      </c>
      <c r="BN54">
        <f t="shared" si="22"/>
        <v>4.8830571228210906E-3</v>
      </c>
      <c r="BO54">
        <f t="shared" si="20"/>
        <v>4.8568102406794378E-3</v>
      </c>
      <c r="BP54">
        <f t="shared" si="20"/>
        <v>4.8336733117007799E-3</v>
      </c>
      <c r="BQ54">
        <f t="shared" si="20"/>
        <v>4.8136463358851092E-3</v>
      </c>
      <c r="BR54">
        <f t="shared" si="20"/>
        <v>4.7967293132324248E-3</v>
      </c>
      <c r="BS54">
        <f t="shared" si="20"/>
        <v>4.7829222437427415E-3</v>
      </c>
      <c r="BT54">
        <f t="shared" si="20"/>
        <v>4.7722251274160462E-3</v>
      </c>
      <c r="BU54">
        <f t="shared" si="20"/>
        <v>4.7646379642523372E-3</v>
      </c>
      <c r="BV54">
        <f t="shared" si="20"/>
        <v>4.7601607542516224E-3</v>
      </c>
      <c r="BW54">
        <f t="shared" si="20"/>
        <v>4.7587934974139094E-3</v>
      </c>
      <c r="BX54">
        <f t="shared" si="20"/>
        <v>4.7605361937391759E-3</v>
      </c>
      <c r="BY54">
        <f t="shared" si="20"/>
        <v>4.7653888432274364E-3</v>
      </c>
      <c r="BZ54">
        <f t="shared" si="20"/>
        <v>4.773351445878685E-3</v>
      </c>
      <c r="CA54">
        <f t="shared" si="20"/>
        <v>4.7844240016929346E-3</v>
      </c>
      <c r="CB54">
        <f t="shared" si="20"/>
        <v>4.7986065106701645E-3</v>
      </c>
      <c r="CC54">
        <f t="shared" si="20"/>
        <v>4.8158989728103946E-3</v>
      </c>
      <c r="CD54">
        <f t="shared" si="20"/>
        <v>4.8363013881136049E-3</v>
      </c>
      <c r="CE54">
        <f t="shared" si="18"/>
        <v>4.8598137565798241E-3</v>
      </c>
      <c r="CF54">
        <f t="shared" si="18"/>
        <v>4.8864360782090235E-3</v>
      </c>
      <c r="CG54">
        <f t="shared" si="24"/>
        <v>4.9161683530012084E-3</v>
      </c>
      <c r="CH54">
        <f t="shared" si="24"/>
        <v>4.9490105809563961E-3</v>
      </c>
      <c r="CI54">
        <f t="shared" si="24"/>
        <v>4.98496276207457E-3</v>
      </c>
      <c r="CJ54">
        <f t="shared" si="24"/>
        <v>5.0240248963557381E-3</v>
      </c>
      <c r="CK54">
        <f t="shared" si="24"/>
        <v>5.0661969837998942E-3</v>
      </c>
      <c r="CL54">
        <f t="shared" si="24"/>
        <v>5.1114790244070445E-3</v>
      </c>
      <c r="CM54">
        <f t="shared" si="24"/>
        <v>5.159871018177181E-3</v>
      </c>
      <c r="CN54">
        <f t="shared" si="24"/>
        <v>5.2113729651103126E-3</v>
      </c>
      <c r="CO54">
        <f t="shared" si="24"/>
        <v>5.2659848652064373E-3</v>
      </c>
      <c r="CP54">
        <f t="shared" si="24"/>
        <v>5.3237067184655432E-3</v>
      </c>
      <c r="CQ54">
        <f t="shared" si="24"/>
        <v>5.3845385248876563E-3</v>
      </c>
      <c r="CR54">
        <f t="shared" si="24"/>
        <v>5.4484802844727495E-3</v>
      </c>
      <c r="CS54">
        <f t="shared" si="24"/>
        <v>5.5155319972208378E-3</v>
      </c>
      <c r="CT54">
        <f t="shared" si="24"/>
        <v>5.5856936631319192E-3</v>
      </c>
      <c r="CU54">
        <f t="shared" si="24"/>
        <v>5.6589652822059949E-3</v>
      </c>
      <c r="CV54">
        <f t="shared" si="24"/>
        <v>5.7353468544430516E-3</v>
      </c>
    </row>
    <row r="55" spans="19:100" x14ac:dyDescent="0.2">
      <c r="S55">
        <v>35.200000000000102</v>
      </c>
      <c r="T55">
        <f t="shared" si="21"/>
        <v>9.4549234949581028E-3</v>
      </c>
      <c r="U55">
        <f t="shared" si="21"/>
        <v>9.2855235367361125E-3</v>
      </c>
      <c r="V55">
        <f t="shared" si="21"/>
        <v>9.1192335316771164E-3</v>
      </c>
      <c r="W55">
        <f t="shared" si="21"/>
        <v>8.9560534797811162E-3</v>
      </c>
      <c r="X55">
        <f t="shared" si="21"/>
        <v>8.7959833810481065E-3</v>
      </c>
      <c r="Y55">
        <f t="shared" si="21"/>
        <v>8.6390232354780806E-3</v>
      </c>
      <c r="Z55">
        <f t="shared" si="21"/>
        <v>8.4851730430710471E-3</v>
      </c>
      <c r="AA55">
        <f t="shared" si="21"/>
        <v>8.3344328038269938E-3</v>
      </c>
      <c r="AB55">
        <f t="shared" si="21"/>
        <v>8.1868025177459485E-3</v>
      </c>
      <c r="AC55">
        <f t="shared" si="21"/>
        <v>8.0422821848278973E-3</v>
      </c>
      <c r="AD55">
        <f t="shared" si="21"/>
        <v>7.9008718050728264E-3</v>
      </c>
      <c r="AE55">
        <f t="shared" si="21"/>
        <v>7.7625713784807496E-3</v>
      </c>
      <c r="AF55">
        <f t="shared" si="21"/>
        <v>7.6273809050516669E-3</v>
      </c>
      <c r="AG55">
        <f t="shared" si="21"/>
        <v>7.4953003847855783E-3</v>
      </c>
      <c r="AH55">
        <f t="shared" si="21"/>
        <v>7.3663298176824699E-3</v>
      </c>
      <c r="AI55">
        <f t="shared" si="21"/>
        <v>7.2404692037423626E-3</v>
      </c>
      <c r="AJ55">
        <f t="shared" si="19"/>
        <v>7.1177185429652425E-3</v>
      </c>
      <c r="AK55">
        <f t="shared" si="19"/>
        <v>6.9980778353511096E-3</v>
      </c>
      <c r="AL55">
        <f t="shared" si="19"/>
        <v>6.8815470808999777E-3</v>
      </c>
      <c r="AM55">
        <f t="shared" si="19"/>
        <v>6.768126279611833E-3</v>
      </c>
      <c r="AN55">
        <f t="shared" si="19"/>
        <v>6.6578154314866755E-3</v>
      </c>
      <c r="AO55">
        <f t="shared" si="19"/>
        <v>6.550614536524519E-3</v>
      </c>
      <c r="AP55">
        <f t="shared" si="19"/>
        <v>6.4465235947253497E-3</v>
      </c>
      <c r="AQ55">
        <f t="shared" si="19"/>
        <v>6.3455426060891676E-3</v>
      </c>
      <c r="AR55">
        <f t="shared" si="23"/>
        <v>6.2476715706159796E-3</v>
      </c>
      <c r="AS55">
        <f t="shared" si="23"/>
        <v>6.1529104883057796E-3</v>
      </c>
      <c r="AT55">
        <f t="shared" si="23"/>
        <v>6.0612593591585799E-3</v>
      </c>
      <c r="AU55">
        <f t="shared" si="23"/>
        <v>5.9727181831743673E-3</v>
      </c>
      <c r="AV55">
        <f t="shared" si="23"/>
        <v>5.8872869603531419E-3</v>
      </c>
      <c r="AW55">
        <f t="shared" si="23"/>
        <v>5.8049656906949106E-3</v>
      </c>
      <c r="AX55">
        <f t="shared" si="23"/>
        <v>5.7257543741996734E-3</v>
      </c>
      <c r="AY55">
        <f t="shared" si="23"/>
        <v>5.6496530108674234E-3</v>
      </c>
      <c r="AZ55">
        <f t="shared" si="23"/>
        <v>5.5766616006981684E-3</v>
      </c>
      <c r="BA55">
        <f t="shared" si="23"/>
        <v>5.5067801436918988E-3</v>
      </c>
      <c r="BB55">
        <f t="shared" si="23"/>
        <v>5.4400086398486243E-3</v>
      </c>
      <c r="BC55">
        <f t="shared" si="23"/>
        <v>5.3763470891683447E-3</v>
      </c>
      <c r="BD55">
        <f t="shared" si="23"/>
        <v>5.3157954916510514E-3</v>
      </c>
      <c r="BE55">
        <f t="shared" si="23"/>
        <v>5.2583538472967522E-3</v>
      </c>
      <c r="BF55">
        <f t="shared" si="23"/>
        <v>5.2040221561054471E-3</v>
      </c>
      <c r="BG55">
        <f t="shared" si="23"/>
        <v>5.1528004180771293E-3</v>
      </c>
      <c r="BH55">
        <f t="shared" si="22"/>
        <v>5.1046886332117986E-3</v>
      </c>
      <c r="BI55">
        <f t="shared" si="22"/>
        <v>5.059686801509462E-3</v>
      </c>
      <c r="BJ55">
        <f t="shared" si="22"/>
        <v>5.0177949229701195E-3</v>
      </c>
      <c r="BK55">
        <f t="shared" si="22"/>
        <v>4.9790129975937712E-3</v>
      </c>
      <c r="BL55">
        <f t="shared" si="22"/>
        <v>4.94334102538041E-3</v>
      </c>
      <c r="BM55">
        <f t="shared" si="22"/>
        <v>4.9107790063300429E-3</v>
      </c>
      <c r="BN55">
        <f t="shared" si="22"/>
        <v>4.881326940442663E-3</v>
      </c>
      <c r="BO55">
        <f t="shared" si="20"/>
        <v>4.8549848277182773E-3</v>
      </c>
      <c r="BP55">
        <f t="shared" si="20"/>
        <v>4.8317526681568856E-3</v>
      </c>
      <c r="BQ55">
        <f t="shared" si="20"/>
        <v>4.8116304617584812E-3</v>
      </c>
      <c r="BR55">
        <f t="shared" si="20"/>
        <v>4.7946182085230639E-3</v>
      </c>
      <c r="BS55">
        <f t="shared" si="20"/>
        <v>4.7807159084506485E-3</v>
      </c>
      <c r="BT55">
        <f t="shared" si="20"/>
        <v>4.7699235615412195E-3</v>
      </c>
      <c r="BU55">
        <f t="shared" si="20"/>
        <v>4.7622411677947767E-3</v>
      </c>
      <c r="BV55">
        <f t="shared" si="20"/>
        <v>4.7576687272113298E-3</v>
      </c>
      <c r="BW55">
        <f t="shared" si="20"/>
        <v>4.7562062397908831E-3</v>
      </c>
      <c r="BX55">
        <f t="shared" si="20"/>
        <v>4.7578537055334158E-3</v>
      </c>
      <c r="BY55">
        <f t="shared" si="20"/>
        <v>4.7626111244389443E-3</v>
      </c>
      <c r="BZ55">
        <f t="shared" si="20"/>
        <v>4.7704784965074591E-3</v>
      </c>
      <c r="CA55">
        <f t="shared" si="20"/>
        <v>4.7814558217389759E-3</v>
      </c>
      <c r="CB55">
        <f t="shared" si="20"/>
        <v>4.795543100133472E-3</v>
      </c>
      <c r="CC55">
        <f t="shared" si="20"/>
        <v>4.8127403316909692E-3</v>
      </c>
      <c r="CD55">
        <f t="shared" si="20"/>
        <v>4.8330475164114466E-3</v>
      </c>
      <c r="CE55">
        <f t="shared" si="18"/>
        <v>4.856464654294932E-3</v>
      </c>
      <c r="CF55">
        <f t="shared" si="18"/>
        <v>4.8829917453413977E-3</v>
      </c>
      <c r="CG55">
        <f t="shared" si="24"/>
        <v>4.9126287895508505E-3</v>
      </c>
      <c r="CH55">
        <f t="shared" si="24"/>
        <v>4.9453757869233044E-3</v>
      </c>
      <c r="CI55">
        <f t="shared" si="24"/>
        <v>4.9812327374587455E-3</v>
      </c>
      <c r="CJ55">
        <f t="shared" si="24"/>
        <v>5.0201996411571807E-3</v>
      </c>
      <c r="CK55">
        <f t="shared" si="24"/>
        <v>5.062276498018603E-3</v>
      </c>
      <c r="CL55">
        <f t="shared" si="24"/>
        <v>5.1074633080430195E-3</v>
      </c>
      <c r="CM55">
        <f t="shared" si="24"/>
        <v>5.1557600712304232E-3</v>
      </c>
      <c r="CN55">
        <f t="shared" si="24"/>
        <v>5.2071667875808209E-3</v>
      </c>
      <c r="CO55">
        <f t="shared" si="24"/>
        <v>5.2616834570942128E-3</v>
      </c>
      <c r="CP55">
        <f t="shared" si="24"/>
        <v>5.3193100797705858E-3</v>
      </c>
      <c r="CQ55">
        <f t="shared" si="24"/>
        <v>5.3800466556099651E-3</v>
      </c>
      <c r="CR55">
        <f t="shared" si="24"/>
        <v>5.4438931846123254E-3</v>
      </c>
      <c r="CS55">
        <f t="shared" si="24"/>
        <v>5.5108496667776799E-3</v>
      </c>
      <c r="CT55">
        <f t="shared" si="24"/>
        <v>5.5809161021060285E-3</v>
      </c>
      <c r="CU55">
        <f t="shared" si="24"/>
        <v>5.6540924905973712E-3</v>
      </c>
      <c r="CV55">
        <f t="shared" si="24"/>
        <v>5.730378832251695E-3</v>
      </c>
    </row>
    <row r="56" spans="19:100" x14ac:dyDescent="0.2">
      <c r="S56">
        <v>35.300000000000097</v>
      </c>
      <c r="T56">
        <f t="shared" si="21"/>
        <v>9.458474373112237E-3</v>
      </c>
      <c r="U56">
        <f t="shared" si="21"/>
        <v>9.288979184307513E-3</v>
      </c>
      <c r="V56">
        <f t="shared" si="21"/>
        <v>9.1225939486657831E-3</v>
      </c>
      <c r="W56">
        <f t="shared" si="21"/>
        <v>8.9593186661870491E-3</v>
      </c>
      <c r="X56">
        <f t="shared" si="21"/>
        <v>8.7991533368713074E-3</v>
      </c>
      <c r="Y56">
        <f t="shared" si="21"/>
        <v>8.642097960718546E-3</v>
      </c>
      <c r="Z56">
        <f t="shared" si="21"/>
        <v>8.4881525377287805E-3</v>
      </c>
      <c r="AA56">
        <f t="shared" si="21"/>
        <v>8.3373170679019934E-3</v>
      </c>
      <c r="AB56">
        <f t="shared" si="21"/>
        <v>8.1895915512382143E-3</v>
      </c>
      <c r="AC56">
        <f t="shared" si="21"/>
        <v>8.0449759877374311E-3</v>
      </c>
      <c r="AD56">
        <f t="shared" si="21"/>
        <v>7.9034703773996264E-3</v>
      </c>
      <c r="AE56">
        <f t="shared" si="21"/>
        <v>7.7650747202248167E-3</v>
      </c>
      <c r="AF56">
        <f t="shared" si="21"/>
        <v>7.6297890162130011E-3</v>
      </c>
      <c r="AG56">
        <f t="shared" si="21"/>
        <v>7.4976132653641787E-3</v>
      </c>
      <c r="AH56">
        <f t="shared" si="21"/>
        <v>7.3685474676783375E-3</v>
      </c>
      <c r="AI56">
        <f t="shared" si="21"/>
        <v>7.2425916231554973E-3</v>
      </c>
      <c r="AJ56">
        <f t="shared" si="19"/>
        <v>7.1197457317956443E-3</v>
      </c>
      <c r="AK56">
        <f t="shared" si="19"/>
        <v>7.0000097935987776E-3</v>
      </c>
      <c r="AL56">
        <f t="shared" si="19"/>
        <v>6.8833838085649128E-3</v>
      </c>
      <c r="AM56">
        <f t="shared" si="19"/>
        <v>6.7698677766940352E-3</v>
      </c>
      <c r="AN56">
        <f t="shared" si="19"/>
        <v>6.6594616979861448E-3</v>
      </c>
      <c r="AO56">
        <f t="shared" si="19"/>
        <v>6.5521655724412545E-3</v>
      </c>
      <c r="AP56">
        <f t="shared" si="19"/>
        <v>6.4479794000593523E-3</v>
      </c>
      <c r="AQ56">
        <f t="shared" si="19"/>
        <v>6.3469031808404373E-3</v>
      </c>
      <c r="AR56">
        <f t="shared" si="23"/>
        <v>6.2489369147845156E-3</v>
      </c>
      <c r="AS56">
        <f t="shared" si="23"/>
        <v>6.1540806018915819E-3</v>
      </c>
      <c r="AT56">
        <f t="shared" si="23"/>
        <v>6.0623342421616492E-3</v>
      </c>
      <c r="AU56">
        <f t="shared" si="23"/>
        <v>5.9736978355947028E-3</v>
      </c>
      <c r="AV56">
        <f t="shared" si="23"/>
        <v>5.8881713821907445E-3</v>
      </c>
      <c r="AW56">
        <f t="shared" si="23"/>
        <v>5.8057548819497803E-3</v>
      </c>
      <c r="AX56">
        <f t="shared" si="23"/>
        <v>5.7264483348718094E-3</v>
      </c>
      <c r="AY56">
        <f t="shared" si="23"/>
        <v>5.6502517409568274E-3</v>
      </c>
      <c r="AZ56">
        <f t="shared" si="23"/>
        <v>5.5771651002048377E-3</v>
      </c>
      <c r="BA56">
        <f t="shared" si="23"/>
        <v>5.5071884126158361E-3</v>
      </c>
      <c r="BB56">
        <f t="shared" si="23"/>
        <v>5.4403216781898278E-3</v>
      </c>
      <c r="BC56">
        <f t="shared" si="23"/>
        <v>5.3765648969268144E-3</v>
      </c>
      <c r="BD56">
        <f t="shared" si="23"/>
        <v>5.3159180688267882E-3</v>
      </c>
      <c r="BE56">
        <f t="shared" si="23"/>
        <v>5.2583811938897562E-3</v>
      </c>
      <c r="BF56">
        <f t="shared" si="23"/>
        <v>5.2039542721157173E-3</v>
      </c>
      <c r="BG56">
        <f t="shared" si="23"/>
        <v>5.1526373035046666E-3</v>
      </c>
      <c r="BH56">
        <f t="shared" si="22"/>
        <v>5.104430288056603E-3</v>
      </c>
      <c r="BI56">
        <f t="shared" si="22"/>
        <v>5.0593332257715326E-3</v>
      </c>
      <c r="BJ56">
        <f t="shared" si="22"/>
        <v>5.0173461166494572E-3</v>
      </c>
      <c r="BK56">
        <f t="shared" si="22"/>
        <v>4.978468960690376E-3</v>
      </c>
      <c r="BL56">
        <f t="shared" si="22"/>
        <v>4.9427017578942811E-3</v>
      </c>
      <c r="BM56">
        <f t="shared" si="22"/>
        <v>4.9100445082611811E-3</v>
      </c>
      <c r="BN56">
        <f t="shared" si="22"/>
        <v>4.8804972117910683E-3</v>
      </c>
      <c r="BO56">
        <f t="shared" si="20"/>
        <v>4.8540598684839497E-3</v>
      </c>
      <c r="BP56">
        <f t="shared" si="20"/>
        <v>4.8307324783398251E-3</v>
      </c>
      <c r="BQ56">
        <f t="shared" si="20"/>
        <v>4.8105150413586869E-3</v>
      </c>
      <c r="BR56">
        <f t="shared" si="20"/>
        <v>4.7934075575405367E-3</v>
      </c>
      <c r="BS56">
        <f t="shared" si="20"/>
        <v>4.7794100268853876E-3</v>
      </c>
      <c r="BT56">
        <f t="shared" si="20"/>
        <v>4.7685224493932248E-3</v>
      </c>
      <c r="BU56">
        <f t="shared" si="20"/>
        <v>4.76074482506405E-3</v>
      </c>
      <c r="BV56">
        <f t="shared" si="20"/>
        <v>4.7560771538978693E-3</v>
      </c>
      <c r="BW56">
        <f t="shared" si="20"/>
        <v>4.7545194358946889E-3</v>
      </c>
      <c r="BX56">
        <f t="shared" si="20"/>
        <v>4.7560716710544895E-3</v>
      </c>
      <c r="BY56">
        <f t="shared" si="20"/>
        <v>4.7607338593772842E-3</v>
      </c>
      <c r="BZ56">
        <f t="shared" si="20"/>
        <v>4.7685060008630653E-3</v>
      </c>
      <c r="CA56">
        <f t="shared" si="20"/>
        <v>4.7793880955118492E-3</v>
      </c>
      <c r="CB56">
        <f t="shared" si="20"/>
        <v>4.7933801433236115E-3</v>
      </c>
      <c r="CC56">
        <f t="shared" si="20"/>
        <v>4.8104821442983758E-3</v>
      </c>
      <c r="CD56">
        <f t="shared" si="20"/>
        <v>4.8306940984361203E-3</v>
      </c>
      <c r="CE56">
        <f t="shared" si="18"/>
        <v>4.854016005736872E-3</v>
      </c>
      <c r="CF56">
        <f t="shared" si="18"/>
        <v>4.8804478662006047E-3</v>
      </c>
      <c r="CG56">
        <f t="shared" si="24"/>
        <v>4.9099896798273247E-3</v>
      </c>
      <c r="CH56">
        <f t="shared" si="24"/>
        <v>4.9426414466170448E-3</v>
      </c>
      <c r="CI56">
        <f t="shared" si="24"/>
        <v>4.9784031665697521E-3</v>
      </c>
      <c r="CJ56">
        <f t="shared" si="24"/>
        <v>5.0172748396854552E-3</v>
      </c>
      <c r="CK56">
        <f t="shared" si="24"/>
        <v>5.0592564659641438E-3</v>
      </c>
      <c r="CL56">
        <f t="shared" si="24"/>
        <v>5.1043480454058274E-3</v>
      </c>
      <c r="CM56">
        <f t="shared" si="24"/>
        <v>5.1525495780104982E-3</v>
      </c>
      <c r="CN56">
        <f t="shared" si="24"/>
        <v>5.203861063778163E-3</v>
      </c>
      <c r="CO56">
        <f t="shared" si="24"/>
        <v>5.258282502708822E-3</v>
      </c>
      <c r="CP56">
        <f t="shared" si="24"/>
        <v>5.3158138948024604E-3</v>
      </c>
      <c r="CQ56">
        <f t="shared" si="24"/>
        <v>5.3764552400591067E-3</v>
      </c>
      <c r="CR56">
        <f t="shared" si="24"/>
        <v>5.4402065384787351E-3</v>
      </c>
      <c r="CS56">
        <f t="shared" si="24"/>
        <v>5.5070677900613558E-3</v>
      </c>
      <c r="CT56">
        <f t="shared" si="24"/>
        <v>5.5770389948069706E-3</v>
      </c>
      <c r="CU56">
        <f t="shared" si="24"/>
        <v>5.6501201527155813E-3</v>
      </c>
      <c r="CV56">
        <f t="shared" si="24"/>
        <v>5.7263112637871705E-3</v>
      </c>
    </row>
    <row r="57" spans="19:100" x14ac:dyDescent="0.2">
      <c r="S57">
        <v>35.400000000000098</v>
      </c>
      <c r="T57">
        <f t="shared" si="21"/>
        <v>9.4629257049931737E-3</v>
      </c>
      <c r="U57">
        <f t="shared" si="21"/>
        <v>9.293335285605716E-3</v>
      </c>
      <c r="V57">
        <f t="shared" si="21"/>
        <v>9.126854819381254E-3</v>
      </c>
      <c r="W57">
        <f t="shared" si="21"/>
        <v>8.9634843063197862E-3</v>
      </c>
      <c r="X57">
        <f t="shared" si="21"/>
        <v>8.8032237464213108E-3</v>
      </c>
      <c r="Y57">
        <f t="shared" si="21"/>
        <v>8.6460731396858174E-3</v>
      </c>
      <c r="Z57">
        <f t="shared" si="21"/>
        <v>8.4920324861133181E-3</v>
      </c>
      <c r="AA57">
        <f t="shared" si="21"/>
        <v>8.3411017857037972E-3</v>
      </c>
      <c r="AB57">
        <f t="shared" si="21"/>
        <v>8.1932810384572861E-3</v>
      </c>
      <c r="AC57">
        <f t="shared" si="21"/>
        <v>8.0485702443737692E-3</v>
      </c>
      <c r="AD57">
        <f t="shared" si="21"/>
        <v>7.9069694034532307E-3</v>
      </c>
      <c r="AE57">
        <f t="shared" si="21"/>
        <v>7.7684785156956881E-3</v>
      </c>
      <c r="AF57">
        <f t="shared" si="21"/>
        <v>7.6330975811011396E-3</v>
      </c>
      <c r="AG57">
        <f t="shared" si="21"/>
        <v>7.5008265996695843E-3</v>
      </c>
      <c r="AH57">
        <f t="shared" si="21"/>
        <v>7.3716655714010093E-3</v>
      </c>
      <c r="AI57">
        <f t="shared" si="21"/>
        <v>7.2456144962954362E-3</v>
      </c>
      <c r="AJ57">
        <f t="shared" si="19"/>
        <v>7.1226733743528494E-3</v>
      </c>
      <c r="AK57">
        <f t="shared" si="19"/>
        <v>7.0028422055732498E-3</v>
      </c>
      <c r="AL57">
        <f t="shared" si="19"/>
        <v>6.8861209899566522E-3</v>
      </c>
      <c r="AM57">
        <f t="shared" si="19"/>
        <v>6.7725097275030408E-3</v>
      </c>
      <c r="AN57">
        <f t="shared" si="19"/>
        <v>6.6620084182124166E-3</v>
      </c>
      <c r="AO57">
        <f t="shared" si="19"/>
        <v>6.5546170620847943E-3</v>
      </c>
      <c r="AP57">
        <f t="shared" si="19"/>
        <v>6.4503356591201584E-3</v>
      </c>
      <c r="AQ57">
        <f t="shared" si="19"/>
        <v>6.3491642093185096E-3</v>
      </c>
      <c r="AR57">
        <f t="shared" si="23"/>
        <v>6.2511027126798558E-3</v>
      </c>
      <c r="AS57">
        <f t="shared" si="23"/>
        <v>6.1561511692041883E-3</v>
      </c>
      <c r="AT57">
        <f t="shared" si="23"/>
        <v>6.0643095788915219E-3</v>
      </c>
      <c r="AU57">
        <f t="shared" si="23"/>
        <v>5.9755779417418435E-3</v>
      </c>
      <c r="AV57">
        <f t="shared" si="23"/>
        <v>5.8899562577551514E-3</v>
      </c>
      <c r="AW57">
        <f t="shared" si="23"/>
        <v>5.8074445269314535E-3</v>
      </c>
      <c r="AX57">
        <f t="shared" si="23"/>
        <v>5.7280427492707505E-3</v>
      </c>
      <c r="AY57">
        <f t="shared" si="23"/>
        <v>5.6517509247730338E-3</v>
      </c>
      <c r="AZ57">
        <f t="shared" si="23"/>
        <v>5.5785690534383122E-3</v>
      </c>
      <c r="BA57">
        <f t="shared" si="23"/>
        <v>5.5084971352665768E-3</v>
      </c>
      <c r="BB57">
        <f t="shared" si="23"/>
        <v>5.4415351702578356E-3</v>
      </c>
      <c r="BC57">
        <f t="shared" si="23"/>
        <v>5.3776831584120884E-3</v>
      </c>
      <c r="BD57">
        <f t="shared" si="23"/>
        <v>5.3169410997293293E-3</v>
      </c>
      <c r="BE57">
        <f t="shared" si="23"/>
        <v>5.2593089942095635E-3</v>
      </c>
      <c r="BF57">
        <f t="shared" si="23"/>
        <v>5.2047868418527918E-3</v>
      </c>
      <c r="BG57">
        <f t="shared" si="23"/>
        <v>5.1533746426590081E-3</v>
      </c>
      <c r="BH57">
        <f t="shared" si="22"/>
        <v>5.1050723966282107E-3</v>
      </c>
      <c r="BI57">
        <f t="shared" si="22"/>
        <v>5.0598801037604075E-3</v>
      </c>
      <c r="BJ57">
        <f t="shared" si="22"/>
        <v>5.0177977640555992E-3</v>
      </c>
      <c r="BK57">
        <f t="shared" si="22"/>
        <v>4.9788253775137842E-3</v>
      </c>
      <c r="BL57">
        <f t="shared" si="22"/>
        <v>4.9429629441349564E-3</v>
      </c>
      <c r="BM57">
        <f t="shared" si="22"/>
        <v>4.9102104639191235E-3</v>
      </c>
      <c r="BN57">
        <f t="shared" si="22"/>
        <v>4.880567936866277E-3</v>
      </c>
      <c r="BO57">
        <f t="shared" si="20"/>
        <v>4.8540353629764254E-3</v>
      </c>
      <c r="BP57">
        <f t="shared" si="20"/>
        <v>4.8306127422495671E-3</v>
      </c>
      <c r="BQ57">
        <f t="shared" si="20"/>
        <v>4.8103000746856969E-3</v>
      </c>
      <c r="BR57">
        <f t="shared" si="20"/>
        <v>4.793097360284812E-3</v>
      </c>
      <c r="BS57">
        <f t="shared" si="20"/>
        <v>4.77900459904693E-3</v>
      </c>
      <c r="BT57">
        <f t="shared" si="20"/>
        <v>4.7680217909720352E-3</v>
      </c>
      <c r="BU57">
        <f t="shared" si="20"/>
        <v>4.7601489360601257E-3</v>
      </c>
      <c r="BV57">
        <f t="shared" si="20"/>
        <v>4.7553860343112122E-3</v>
      </c>
      <c r="BW57">
        <f t="shared" si="20"/>
        <v>4.7537330857252997E-3</v>
      </c>
      <c r="BX57">
        <f t="shared" si="20"/>
        <v>4.7551900903023657E-3</v>
      </c>
      <c r="BY57">
        <f t="shared" si="20"/>
        <v>4.7597570480424276E-3</v>
      </c>
      <c r="BZ57">
        <f t="shared" si="20"/>
        <v>4.7674339589454757E-3</v>
      </c>
      <c r="CA57">
        <f t="shared" si="20"/>
        <v>4.7782208230115258E-3</v>
      </c>
      <c r="CB57">
        <f t="shared" si="20"/>
        <v>4.7921176402405553E-3</v>
      </c>
      <c r="CC57">
        <f t="shared" si="20"/>
        <v>4.8091244106325867E-3</v>
      </c>
      <c r="CD57">
        <f t="shared" ref="BO57:CD73" si="25">$H$3+$H$4*CD$2+$H$5*CD$2*CD$2+$H$6*$S57+$H$7*$S57*$S57+$H$8*CD$2*$S57</f>
        <v>4.8292411341875974E-3</v>
      </c>
      <c r="CE57">
        <f t="shared" si="18"/>
        <v>4.8524678109056162E-3</v>
      </c>
      <c r="CF57">
        <f t="shared" si="18"/>
        <v>4.878804440786616E-3</v>
      </c>
      <c r="CG57">
        <f t="shared" si="24"/>
        <v>4.9082510238306013E-3</v>
      </c>
      <c r="CH57">
        <f t="shared" si="24"/>
        <v>4.9408075600375894E-3</v>
      </c>
      <c r="CI57">
        <f t="shared" si="24"/>
        <v>4.9764740494075638E-3</v>
      </c>
      <c r="CJ57">
        <f t="shared" si="24"/>
        <v>5.0152504919405323E-3</v>
      </c>
      <c r="CK57">
        <f t="shared" si="24"/>
        <v>5.0571368876364889E-3</v>
      </c>
      <c r="CL57">
        <f t="shared" si="24"/>
        <v>5.1021332364954396E-3</v>
      </c>
      <c r="CM57">
        <f t="shared" si="24"/>
        <v>5.1502395385173757E-3</v>
      </c>
      <c r="CN57">
        <f t="shared" si="24"/>
        <v>5.2014557937023077E-3</v>
      </c>
      <c r="CO57">
        <f t="shared" si="24"/>
        <v>5.2557820020502338E-3</v>
      </c>
      <c r="CP57">
        <f t="shared" si="24"/>
        <v>5.3132181635611401E-3</v>
      </c>
      <c r="CQ57">
        <f t="shared" si="24"/>
        <v>5.3737642782350527E-3</v>
      </c>
      <c r="CR57">
        <f t="shared" si="24"/>
        <v>5.4374203460719472E-3</v>
      </c>
      <c r="CS57">
        <f t="shared" si="24"/>
        <v>5.5041863670718351E-3</v>
      </c>
      <c r="CT57">
        <f t="shared" si="24"/>
        <v>5.574062341234717E-3</v>
      </c>
      <c r="CU57">
        <f t="shared" si="24"/>
        <v>5.6470482685605939E-3</v>
      </c>
      <c r="CV57">
        <f t="shared" si="24"/>
        <v>5.7231441490494502E-3</v>
      </c>
    </row>
    <row r="58" spans="19:100" x14ac:dyDescent="0.2">
      <c r="S58">
        <v>35.500000000000099</v>
      </c>
      <c r="T58">
        <f t="shared" si="21"/>
        <v>9.4682774906009286E-3</v>
      </c>
      <c r="U58">
        <f t="shared" si="21"/>
        <v>9.2985918406307388E-3</v>
      </c>
      <c r="V58">
        <f t="shared" si="21"/>
        <v>9.1320161438235431E-3</v>
      </c>
      <c r="W58">
        <f t="shared" si="21"/>
        <v>8.9685504001793415E-3</v>
      </c>
      <c r="X58">
        <f t="shared" si="21"/>
        <v>8.8081946096981341E-3</v>
      </c>
      <c r="Y58">
        <f t="shared" si="21"/>
        <v>8.6509487723799069E-3</v>
      </c>
      <c r="Z58">
        <f t="shared" si="21"/>
        <v>8.4968128882246738E-3</v>
      </c>
      <c r="AA58">
        <f t="shared" si="21"/>
        <v>8.3457869572324209E-3</v>
      </c>
      <c r="AB58">
        <f t="shared" si="21"/>
        <v>8.1978709794031761E-3</v>
      </c>
      <c r="AC58">
        <f t="shared" si="21"/>
        <v>8.0530649547369253E-3</v>
      </c>
      <c r="AD58">
        <f t="shared" si="21"/>
        <v>7.9113688832336548E-3</v>
      </c>
      <c r="AE58">
        <f t="shared" si="21"/>
        <v>7.7727827648933785E-3</v>
      </c>
      <c r="AF58">
        <f t="shared" si="21"/>
        <v>7.6373065997160953E-3</v>
      </c>
      <c r="AG58">
        <f t="shared" si="21"/>
        <v>7.5049403877018072E-3</v>
      </c>
      <c r="AH58">
        <f t="shared" si="21"/>
        <v>7.3756841288504993E-3</v>
      </c>
      <c r="AI58">
        <f t="shared" ref="T58:AI74" si="26">$H$3+$H$4*AI$2+$H$5*AI$2*AI$2+$H$6*$S58+$H$7*$S58*$S58+$H$8*AI$2*$S58</f>
        <v>7.2495378231621924E-3</v>
      </c>
      <c r="AJ58">
        <f t="shared" si="19"/>
        <v>7.1265014706368727E-3</v>
      </c>
      <c r="AK58">
        <f t="shared" si="19"/>
        <v>7.0065750712745402E-3</v>
      </c>
      <c r="AL58">
        <f t="shared" si="19"/>
        <v>6.8897586250752088E-3</v>
      </c>
      <c r="AM58">
        <f t="shared" si="19"/>
        <v>6.7760521320388645E-3</v>
      </c>
      <c r="AN58">
        <f t="shared" si="19"/>
        <v>6.6654555921655074E-3</v>
      </c>
      <c r="AO58">
        <f t="shared" si="19"/>
        <v>6.5579690054551514E-3</v>
      </c>
      <c r="AP58">
        <f t="shared" si="19"/>
        <v>6.4535923719077825E-3</v>
      </c>
      <c r="AQ58">
        <f t="shared" si="19"/>
        <v>6.3523256915234009E-3</v>
      </c>
      <c r="AR58">
        <f t="shared" si="23"/>
        <v>6.2541689643020133E-3</v>
      </c>
      <c r="AS58">
        <f t="shared" si="23"/>
        <v>6.1591221902436129E-3</v>
      </c>
      <c r="AT58">
        <f t="shared" si="23"/>
        <v>6.0671853693482136E-3</v>
      </c>
      <c r="AU58">
        <f t="shared" si="23"/>
        <v>5.9783585016158014E-3</v>
      </c>
      <c r="AV58">
        <f t="shared" si="23"/>
        <v>5.8926415870463765E-3</v>
      </c>
      <c r="AW58">
        <f t="shared" si="23"/>
        <v>5.8100346256399456E-3</v>
      </c>
      <c r="AX58">
        <f t="shared" si="23"/>
        <v>5.7305376173965089E-3</v>
      </c>
      <c r="AY58">
        <f t="shared" si="23"/>
        <v>5.6541505623160593E-3</v>
      </c>
      <c r="AZ58">
        <f t="shared" si="23"/>
        <v>5.5808734603986039E-3</v>
      </c>
      <c r="BA58">
        <f t="shared" si="23"/>
        <v>5.5107063116441356E-3</v>
      </c>
      <c r="BB58">
        <f t="shared" si="23"/>
        <v>5.4436491160526615E-3</v>
      </c>
      <c r="BC58">
        <f t="shared" si="23"/>
        <v>5.3797018736241814E-3</v>
      </c>
      <c r="BD58">
        <f t="shared" si="23"/>
        <v>5.3188645843586886E-3</v>
      </c>
      <c r="BE58">
        <f t="shared" si="23"/>
        <v>5.2611372482561898E-3</v>
      </c>
      <c r="BF58">
        <f t="shared" si="23"/>
        <v>5.2065198653166852E-3</v>
      </c>
      <c r="BG58">
        <f t="shared" si="23"/>
        <v>5.1550124355401678E-3</v>
      </c>
      <c r="BH58">
        <f t="shared" si="22"/>
        <v>5.1066149589266375E-3</v>
      </c>
      <c r="BI58">
        <f t="shared" si="22"/>
        <v>5.0613274354761014E-3</v>
      </c>
      <c r="BJ58">
        <f t="shared" si="22"/>
        <v>5.0191498651885593E-3</v>
      </c>
      <c r="BK58">
        <f t="shared" si="22"/>
        <v>4.9800822480640114E-3</v>
      </c>
      <c r="BL58">
        <f t="shared" si="22"/>
        <v>4.9441245841024498E-3</v>
      </c>
      <c r="BM58">
        <f t="shared" si="22"/>
        <v>4.9112768733038832E-3</v>
      </c>
      <c r="BN58">
        <f t="shared" si="22"/>
        <v>4.8815391156683038E-3</v>
      </c>
      <c r="BO58">
        <f t="shared" si="25"/>
        <v>4.8549113111957184E-3</v>
      </c>
      <c r="BP58">
        <f t="shared" si="25"/>
        <v>4.8313934598861272E-3</v>
      </c>
      <c r="BQ58">
        <f t="shared" si="25"/>
        <v>4.8109855617395232E-3</v>
      </c>
      <c r="BR58">
        <f t="shared" si="25"/>
        <v>4.7936876167559064E-3</v>
      </c>
      <c r="BS58">
        <f t="shared" si="25"/>
        <v>4.7794996249352906E-3</v>
      </c>
      <c r="BT58">
        <f t="shared" si="25"/>
        <v>4.768421586277662E-3</v>
      </c>
      <c r="BU58">
        <f t="shared" si="25"/>
        <v>4.7604535007830205E-3</v>
      </c>
      <c r="BV58">
        <f t="shared" si="25"/>
        <v>4.7555953684513732E-3</v>
      </c>
      <c r="BW58">
        <f t="shared" si="25"/>
        <v>4.7538471892827269E-3</v>
      </c>
      <c r="BX58">
        <f t="shared" si="25"/>
        <v>4.7552089632770609E-3</v>
      </c>
      <c r="BY58">
        <f t="shared" si="25"/>
        <v>4.759680690434389E-3</v>
      </c>
      <c r="BZ58">
        <f t="shared" si="25"/>
        <v>4.7672623707547043E-3</v>
      </c>
      <c r="CA58">
        <f t="shared" si="25"/>
        <v>4.7779540042380206E-3</v>
      </c>
      <c r="CB58">
        <f t="shared" si="25"/>
        <v>4.7917555908843171E-3</v>
      </c>
      <c r="CC58">
        <f t="shared" si="25"/>
        <v>4.8086671306936148E-3</v>
      </c>
      <c r="CD58">
        <f t="shared" si="25"/>
        <v>4.8286886236658926E-3</v>
      </c>
      <c r="CE58">
        <f t="shared" si="18"/>
        <v>4.8518200698011785E-3</v>
      </c>
      <c r="CF58">
        <f t="shared" si="18"/>
        <v>4.8780614690994446E-3</v>
      </c>
      <c r="CG58">
        <f t="shared" si="24"/>
        <v>4.9074128215606978E-3</v>
      </c>
      <c r="CH58">
        <f t="shared" si="24"/>
        <v>4.9398741271849522E-3</v>
      </c>
      <c r="CI58">
        <f t="shared" si="24"/>
        <v>4.9754453859721937E-3</v>
      </c>
      <c r="CJ58">
        <f t="shared" si="24"/>
        <v>5.0141265979224293E-3</v>
      </c>
      <c r="CK58">
        <f t="shared" si="24"/>
        <v>5.0559177630356521E-3</v>
      </c>
      <c r="CL58">
        <f t="shared" si="24"/>
        <v>5.100818881311869E-3</v>
      </c>
      <c r="CM58">
        <f t="shared" si="24"/>
        <v>5.1488299527510731E-3</v>
      </c>
      <c r="CN58">
        <f t="shared" si="24"/>
        <v>5.1999509773532713E-3</v>
      </c>
      <c r="CO58">
        <f t="shared" si="24"/>
        <v>5.2541819551184636E-3</v>
      </c>
      <c r="CP58">
        <f t="shared" si="24"/>
        <v>5.3115228860466362E-3</v>
      </c>
      <c r="CQ58">
        <f t="shared" si="24"/>
        <v>5.3719737701378167E-3</v>
      </c>
      <c r="CR58">
        <f t="shared" si="24"/>
        <v>5.4355346073919775E-3</v>
      </c>
      <c r="CS58">
        <f t="shared" si="24"/>
        <v>5.5022053978091325E-3</v>
      </c>
      <c r="CT58">
        <f t="shared" si="24"/>
        <v>5.5719861413892815E-3</v>
      </c>
      <c r="CU58">
        <f t="shared" si="24"/>
        <v>5.6448768381324246E-3</v>
      </c>
      <c r="CV58">
        <f t="shared" si="24"/>
        <v>5.720877488038548E-3</v>
      </c>
    </row>
    <row r="59" spans="19:100" x14ac:dyDescent="0.2">
      <c r="S59">
        <v>35.600000000000101</v>
      </c>
      <c r="T59">
        <f t="shared" si="26"/>
        <v>9.4745297299355085E-3</v>
      </c>
      <c r="U59">
        <f t="shared" si="26"/>
        <v>9.3047488493825849E-3</v>
      </c>
      <c r="V59">
        <f t="shared" si="26"/>
        <v>9.1380779219926572E-3</v>
      </c>
      <c r="W59">
        <f t="shared" si="26"/>
        <v>8.9745169477657219E-3</v>
      </c>
      <c r="X59">
        <f t="shared" si="26"/>
        <v>8.8140659267017807E-3</v>
      </c>
      <c r="Y59">
        <f t="shared" si="26"/>
        <v>8.6567248588008214E-3</v>
      </c>
      <c r="Z59">
        <f t="shared" si="26"/>
        <v>8.5024937440628546E-3</v>
      </c>
      <c r="AA59">
        <f t="shared" si="26"/>
        <v>8.351372582487868E-3</v>
      </c>
      <c r="AB59">
        <f t="shared" si="26"/>
        <v>8.2033613740758893E-3</v>
      </c>
      <c r="AC59">
        <f t="shared" si="26"/>
        <v>8.0584601188269066E-3</v>
      </c>
      <c r="AD59">
        <f t="shared" si="26"/>
        <v>7.9166688167409023E-3</v>
      </c>
      <c r="AE59">
        <f t="shared" si="26"/>
        <v>7.777987467817893E-3</v>
      </c>
      <c r="AF59">
        <f t="shared" si="26"/>
        <v>7.642416072057877E-3</v>
      </c>
      <c r="AG59">
        <f t="shared" si="26"/>
        <v>7.5099546294608559E-3</v>
      </c>
      <c r="AH59">
        <f t="shared" si="26"/>
        <v>7.3806031400268143E-3</v>
      </c>
      <c r="AI59">
        <f t="shared" si="26"/>
        <v>7.2543616037557745E-3</v>
      </c>
      <c r="AJ59">
        <f t="shared" si="19"/>
        <v>7.1312300206477219E-3</v>
      </c>
      <c r="AK59">
        <f t="shared" si="19"/>
        <v>7.0112083907026557E-3</v>
      </c>
      <c r="AL59">
        <f t="shared" si="19"/>
        <v>6.8942967139205913E-3</v>
      </c>
      <c r="AM59">
        <f t="shared" si="19"/>
        <v>6.7804949903015142E-3</v>
      </c>
      <c r="AN59">
        <f t="shared" si="19"/>
        <v>6.6698032198454233E-3</v>
      </c>
      <c r="AO59">
        <f t="shared" si="19"/>
        <v>6.5622214025523344E-3</v>
      </c>
      <c r="AP59">
        <f t="shared" si="19"/>
        <v>6.4577495384222318E-3</v>
      </c>
      <c r="AQ59">
        <f t="shared" si="19"/>
        <v>6.3563876274551172E-3</v>
      </c>
      <c r="AR59">
        <f t="shared" si="23"/>
        <v>6.2581356696509959E-3</v>
      </c>
      <c r="AS59">
        <f t="shared" si="23"/>
        <v>6.1629936650098626E-3</v>
      </c>
      <c r="AT59">
        <f t="shared" si="23"/>
        <v>6.0709616135317303E-3</v>
      </c>
      <c r="AU59">
        <f t="shared" si="23"/>
        <v>5.9820395152165844E-3</v>
      </c>
      <c r="AV59">
        <f t="shared" si="23"/>
        <v>5.8962273700644266E-3</v>
      </c>
      <c r="AW59">
        <f t="shared" si="23"/>
        <v>5.8135251780752628E-3</v>
      </c>
      <c r="AX59">
        <f t="shared" si="23"/>
        <v>5.7339329392490923E-3</v>
      </c>
      <c r="AY59">
        <f t="shared" si="23"/>
        <v>5.6574506535859099E-3</v>
      </c>
      <c r="AZ59">
        <f t="shared" si="23"/>
        <v>5.5840783210857215E-3</v>
      </c>
      <c r="BA59">
        <f t="shared" si="23"/>
        <v>5.5138159417485195E-3</v>
      </c>
      <c r="BB59">
        <f t="shared" si="23"/>
        <v>5.4466635155743116E-3</v>
      </c>
      <c r="BC59">
        <f t="shared" si="23"/>
        <v>5.3826210425630986E-3</v>
      </c>
      <c r="BD59">
        <f t="shared" si="23"/>
        <v>5.3216885227148729E-3</v>
      </c>
      <c r="BE59">
        <f t="shared" si="23"/>
        <v>5.2638659560296404E-3</v>
      </c>
      <c r="BF59">
        <f t="shared" si="23"/>
        <v>5.2091533425074029E-3</v>
      </c>
      <c r="BG59">
        <f t="shared" si="23"/>
        <v>5.1575506821481525E-3</v>
      </c>
      <c r="BH59">
        <f t="shared" si="22"/>
        <v>5.1090579749518885E-3</v>
      </c>
      <c r="BI59">
        <f t="shared" si="22"/>
        <v>5.0636752209186195E-3</v>
      </c>
      <c r="BJ59">
        <f t="shared" si="22"/>
        <v>5.0214024200483445E-3</v>
      </c>
      <c r="BK59">
        <f t="shared" si="22"/>
        <v>4.9822395723410628E-3</v>
      </c>
      <c r="BL59">
        <f t="shared" si="22"/>
        <v>4.9461866777967683E-3</v>
      </c>
      <c r="BM59">
        <f t="shared" si="22"/>
        <v>4.9132437364154688E-3</v>
      </c>
      <c r="BN59">
        <f t="shared" si="22"/>
        <v>4.8834107481971565E-3</v>
      </c>
      <c r="BO59">
        <f t="shared" si="25"/>
        <v>4.8566877131418374E-3</v>
      </c>
      <c r="BP59">
        <f t="shared" si="25"/>
        <v>4.8330746312495133E-3</v>
      </c>
      <c r="BQ59">
        <f t="shared" si="25"/>
        <v>4.8125715025201764E-3</v>
      </c>
      <c r="BR59">
        <f t="shared" si="25"/>
        <v>4.7951783269538258E-3</v>
      </c>
      <c r="BS59">
        <f t="shared" si="25"/>
        <v>4.7808951045504771E-3</v>
      </c>
      <c r="BT59">
        <f t="shared" si="25"/>
        <v>4.7697218353101156E-3</v>
      </c>
      <c r="BU59">
        <f t="shared" si="25"/>
        <v>4.7616585192327403E-3</v>
      </c>
      <c r="BV59">
        <f t="shared" si="25"/>
        <v>4.7567051563183593E-3</v>
      </c>
      <c r="BW59">
        <f t="shared" si="25"/>
        <v>4.754861746566981E-3</v>
      </c>
      <c r="BX59">
        <f t="shared" si="25"/>
        <v>4.7561282899785812E-3</v>
      </c>
      <c r="BY59">
        <f t="shared" si="25"/>
        <v>4.7605047865531755E-3</v>
      </c>
      <c r="BZ59">
        <f t="shared" si="25"/>
        <v>4.767991236290757E-3</v>
      </c>
      <c r="CA59">
        <f t="shared" si="25"/>
        <v>4.7785876391913413E-3</v>
      </c>
      <c r="CB59">
        <f t="shared" si="25"/>
        <v>4.7922939952549041E-3</v>
      </c>
      <c r="CC59">
        <f t="shared" si="25"/>
        <v>4.8091103044814688E-3</v>
      </c>
      <c r="CD59">
        <f t="shared" si="25"/>
        <v>4.8290365668710138E-3</v>
      </c>
      <c r="CE59">
        <f t="shared" si="18"/>
        <v>4.8520727824235658E-3</v>
      </c>
      <c r="CF59">
        <f t="shared" si="18"/>
        <v>4.878218951139099E-3</v>
      </c>
      <c r="CG59">
        <f t="shared" si="24"/>
        <v>4.9074750730176185E-3</v>
      </c>
      <c r="CH59">
        <f t="shared" si="24"/>
        <v>4.93984114805914E-3</v>
      </c>
      <c r="CI59">
        <f t="shared" si="24"/>
        <v>4.9753171762636477E-3</v>
      </c>
      <c r="CJ59">
        <f t="shared" si="24"/>
        <v>5.0139031576311504E-3</v>
      </c>
      <c r="CK59">
        <f t="shared" si="24"/>
        <v>5.0555990921616403E-3</v>
      </c>
      <c r="CL59">
        <f t="shared" si="24"/>
        <v>5.1004049798551235E-3</v>
      </c>
      <c r="CM59">
        <f t="shared" si="24"/>
        <v>5.1483208207115938E-3</v>
      </c>
      <c r="CN59">
        <f t="shared" si="24"/>
        <v>5.19934661473106E-3</v>
      </c>
      <c r="CO59">
        <f t="shared" si="24"/>
        <v>5.2534823619135185E-3</v>
      </c>
      <c r="CP59">
        <f t="shared" si="24"/>
        <v>5.3107280622589582E-3</v>
      </c>
      <c r="CQ59">
        <f t="shared" si="24"/>
        <v>5.371083715767405E-3</v>
      </c>
      <c r="CR59">
        <f t="shared" si="24"/>
        <v>5.4345493224388329E-3</v>
      </c>
      <c r="CS59">
        <f t="shared" si="24"/>
        <v>5.5011248822732541E-3</v>
      </c>
      <c r="CT59">
        <f t="shared" si="24"/>
        <v>5.5708103952706702E-3</v>
      </c>
      <c r="CU59">
        <f t="shared" si="24"/>
        <v>5.6436058614310804E-3</v>
      </c>
      <c r="CV59">
        <f t="shared" si="24"/>
        <v>5.7195112807544701E-3</v>
      </c>
    </row>
    <row r="60" spans="19:100" x14ac:dyDescent="0.2">
      <c r="S60">
        <v>35.700000000000102</v>
      </c>
      <c r="T60">
        <f t="shared" si="26"/>
        <v>9.4816824229968996E-3</v>
      </c>
      <c r="U60">
        <f t="shared" si="26"/>
        <v>9.311806311861244E-3</v>
      </c>
      <c r="V60">
        <f t="shared" si="26"/>
        <v>9.1450401538885808E-3</v>
      </c>
      <c r="W60">
        <f t="shared" si="26"/>
        <v>8.9813839490789135E-3</v>
      </c>
      <c r="X60">
        <f t="shared" si="26"/>
        <v>8.8208376974322402E-3</v>
      </c>
      <c r="Y60">
        <f t="shared" si="26"/>
        <v>8.6634013989485455E-3</v>
      </c>
      <c r="Z60">
        <f t="shared" si="26"/>
        <v>8.5090750536278466E-3</v>
      </c>
      <c r="AA60">
        <f t="shared" si="26"/>
        <v>8.3578586614701262E-3</v>
      </c>
      <c r="AB60">
        <f t="shared" si="26"/>
        <v>8.2097522224754155E-3</v>
      </c>
      <c r="AC60">
        <f t="shared" si="26"/>
        <v>8.064755736643699E-3</v>
      </c>
      <c r="AD60">
        <f t="shared" si="26"/>
        <v>7.922869203974961E-3</v>
      </c>
      <c r="AE60">
        <f t="shared" si="26"/>
        <v>7.7840926244692188E-3</v>
      </c>
      <c r="AF60">
        <f t="shared" si="26"/>
        <v>7.6484259981264699E-3</v>
      </c>
      <c r="AG60">
        <f t="shared" si="26"/>
        <v>7.515869324946715E-3</v>
      </c>
      <c r="AH60">
        <f t="shared" si="26"/>
        <v>7.3864226049299413E-3</v>
      </c>
      <c r="AI60">
        <f t="shared" si="26"/>
        <v>7.2600858380761678E-3</v>
      </c>
      <c r="AJ60">
        <f t="shared" si="19"/>
        <v>7.1368590243853815E-3</v>
      </c>
      <c r="AK60">
        <f t="shared" si="19"/>
        <v>7.0167421638575823E-3</v>
      </c>
      <c r="AL60">
        <f t="shared" si="19"/>
        <v>6.8997352564927842E-3</v>
      </c>
      <c r="AM60">
        <f t="shared" si="19"/>
        <v>6.7858383022909741E-3</v>
      </c>
      <c r="AN60">
        <f t="shared" si="19"/>
        <v>6.6750513012521504E-3</v>
      </c>
      <c r="AO60">
        <f t="shared" si="19"/>
        <v>6.5673742533763277E-3</v>
      </c>
      <c r="AP60">
        <f t="shared" si="19"/>
        <v>6.462807158663493E-3</v>
      </c>
      <c r="AQ60">
        <f t="shared" si="19"/>
        <v>6.3613500171136438E-3</v>
      </c>
      <c r="AR60">
        <f t="shared" si="23"/>
        <v>6.2630028287267905E-3</v>
      </c>
      <c r="AS60">
        <f t="shared" si="23"/>
        <v>6.1677655935029234E-3</v>
      </c>
      <c r="AT60">
        <f t="shared" si="23"/>
        <v>6.0756383114420574E-3</v>
      </c>
      <c r="AU60">
        <f t="shared" si="23"/>
        <v>5.9866209825441795E-3</v>
      </c>
      <c r="AV60">
        <f t="shared" si="23"/>
        <v>5.9007136068092879E-3</v>
      </c>
      <c r="AW60">
        <f t="shared" si="23"/>
        <v>5.8179161842373903E-3</v>
      </c>
      <c r="AX60">
        <f t="shared" ref="AR60:BG76" si="27">$H$3+$H$4*AX$2+$H$5*AX$2*AX$2+$H$6*$S60+$H$7*$S60*$S60+$H$8*AX$2*$S60</f>
        <v>5.7382287148284869E-3</v>
      </c>
      <c r="AY60">
        <f t="shared" si="27"/>
        <v>5.6616511985825716E-3</v>
      </c>
      <c r="AZ60">
        <f t="shared" si="27"/>
        <v>5.5881836354996495E-3</v>
      </c>
      <c r="BA60">
        <f t="shared" si="27"/>
        <v>5.5178260255797145E-3</v>
      </c>
      <c r="BB60">
        <f t="shared" si="27"/>
        <v>5.4505783688227737E-3</v>
      </c>
      <c r="BC60">
        <f t="shared" si="27"/>
        <v>5.3864406652288279E-3</v>
      </c>
      <c r="BD60">
        <f t="shared" si="27"/>
        <v>5.3254129147978684E-3</v>
      </c>
      <c r="BE60">
        <f t="shared" si="27"/>
        <v>5.267495117529903E-3</v>
      </c>
      <c r="BF60">
        <f t="shared" si="27"/>
        <v>5.2126872734249317E-3</v>
      </c>
      <c r="BG60">
        <f t="shared" si="27"/>
        <v>5.1609893824829476E-3</v>
      </c>
      <c r="BH60">
        <f t="shared" si="22"/>
        <v>5.1124014447039515E-3</v>
      </c>
      <c r="BI60">
        <f t="shared" si="22"/>
        <v>5.0669234600879487E-3</v>
      </c>
      <c r="BJ60">
        <f t="shared" si="22"/>
        <v>5.02455542863494E-3</v>
      </c>
      <c r="BK60">
        <f t="shared" si="22"/>
        <v>4.9852973503449255E-3</v>
      </c>
      <c r="BL60">
        <f t="shared" si="22"/>
        <v>4.9491492252178981E-3</v>
      </c>
      <c r="BM60">
        <f t="shared" si="22"/>
        <v>4.9161110532538656E-3</v>
      </c>
      <c r="BN60">
        <f t="shared" si="22"/>
        <v>4.8861828344528195E-3</v>
      </c>
      <c r="BO60">
        <f t="shared" si="25"/>
        <v>4.8593645688147676E-3</v>
      </c>
      <c r="BP60">
        <f t="shared" si="25"/>
        <v>4.8356562563397106E-3</v>
      </c>
      <c r="BQ60">
        <f t="shared" si="25"/>
        <v>4.8150578970276399E-3</v>
      </c>
      <c r="BR60">
        <f t="shared" si="25"/>
        <v>4.7975694908785563E-3</v>
      </c>
      <c r="BS60">
        <f t="shared" si="25"/>
        <v>4.7831910378924748E-3</v>
      </c>
      <c r="BT60">
        <f t="shared" si="25"/>
        <v>4.7719225380693786E-3</v>
      </c>
      <c r="BU60">
        <f t="shared" si="25"/>
        <v>4.7637639914092714E-3</v>
      </c>
      <c r="BV60">
        <f t="shared" si="25"/>
        <v>4.7587153979121574E-3</v>
      </c>
      <c r="BW60">
        <f t="shared" si="25"/>
        <v>4.7567767575780445E-3</v>
      </c>
      <c r="BX60">
        <f t="shared" si="25"/>
        <v>4.7579480704069118E-3</v>
      </c>
      <c r="BY60">
        <f t="shared" si="25"/>
        <v>4.7622293363987732E-3</v>
      </c>
      <c r="BZ60">
        <f t="shared" si="25"/>
        <v>4.7696205555536227E-3</v>
      </c>
      <c r="CA60">
        <f t="shared" si="25"/>
        <v>4.7801217278714732E-3</v>
      </c>
      <c r="CB60">
        <f t="shared" si="25"/>
        <v>4.7937328533523022E-3</v>
      </c>
      <c r="CC60">
        <f t="shared" si="25"/>
        <v>4.810453931996134E-3</v>
      </c>
      <c r="CD60">
        <f t="shared" si="25"/>
        <v>4.8302849638029452E-3</v>
      </c>
      <c r="CE60">
        <f t="shared" si="18"/>
        <v>4.8532259487727644E-3</v>
      </c>
      <c r="CF60">
        <f t="shared" si="18"/>
        <v>4.8792768869055647E-3</v>
      </c>
      <c r="CG60">
        <f t="shared" si="24"/>
        <v>4.9084377782013505E-3</v>
      </c>
      <c r="CH60">
        <f t="shared" si="24"/>
        <v>4.940708622660139E-3</v>
      </c>
      <c r="CI60">
        <f t="shared" si="24"/>
        <v>4.976089420281913E-3</v>
      </c>
      <c r="CJ60">
        <f t="shared" si="24"/>
        <v>5.0145801710666828E-3</v>
      </c>
      <c r="CK60">
        <f t="shared" si="24"/>
        <v>5.0561808750144389E-3</v>
      </c>
      <c r="CL60">
        <f t="shared" si="24"/>
        <v>5.1008915321251892E-3</v>
      </c>
      <c r="CM60">
        <f t="shared" si="24"/>
        <v>5.1487121423989275E-3</v>
      </c>
      <c r="CN60">
        <f t="shared" si="24"/>
        <v>5.1996427058356599E-3</v>
      </c>
      <c r="CO60">
        <f t="shared" si="24"/>
        <v>5.2536832224353847E-3</v>
      </c>
      <c r="CP60">
        <f t="shared" si="24"/>
        <v>5.3108336921980914E-3</v>
      </c>
      <c r="CQ60">
        <f t="shared" si="24"/>
        <v>5.3710941151238045E-3</v>
      </c>
      <c r="CR60">
        <f t="shared" si="24"/>
        <v>5.4344644912124995E-3</v>
      </c>
      <c r="CS60">
        <f t="shared" si="24"/>
        <v>5.5009448204641877E-3</v>
      </c>
      <c r="CT60">
        <f t="shared" si="24"/>
        <v>5.5705351028788701E-3</v>
      </c>
      <c r="CU60">
        <f t="shared" si="24"/>
        <v>5.6432353384565474E-3</v>
      </c>
      <c r="CV60">
        <f t="shared" si="24"/>
        <v>5.7190455271972042E-3</v>
      </c>
    </row>
    <row r="61" spans="19:100" x14ac:dyDescent="0.2">
      <c r="S61">
        <v>35.800000000000097</v>
      </c>
      <c r="T61">
        <f t="shared" si="26"/>
        <v>9.4897355697851158E-3</v>
      </c>
      <c r="U61">
        <f t="shared" si="26"/>
        <v>9.3197642280667264E-3</v>
      </c>
      <c r="V61">
        <f t="shared" si="26"/>
        <v>9.1529028395113312E-3</v>
      </c>
      <c r="W61">
        <f t="shared" si="26"/>
        <v>8.9891514041189301E-3</v>
      </c>
      <c r="X61">
        <f t="shared" si="26"/>
        <v>8.8285099218895231E-3</v>
      </c>
      <c r="Y61">
        <f t="shared" si="26"/>
        <v>8.6709783928230963E-3</v>
      </c>
      <c r="Z61">
        <f t="shared" si="26"/>
        <v>8.5165568169196636E-3</v>
      </c>
      <c r="AA61">
        <f t="shared" si="26"/>
        <v>8.3652451941792112E-3</v>
      </c>
      <c r="AB61">
        <f t="shared" si="26"/>
        <v>8.2170435246017668E-3</v>
      </c>
      <c r="AC61">
        <f t="shared" si="26"/>
        <v>8.0719518081873165E-3</v>
      </c>
      <c r="AD61">
        <f t="shared" si="26"/>
        <v>7.9299700449358464E-3</v>
      </c>
      <c r="AE61">
        <f t="shared" si="26"/>
        <v>7.7910982348473696E-3</v>
      </c>
      <c r="AF61">
        <f t="shared" si="26"/>
        <v>7.6553363779218878E-3</v>
      </c>
      <c r="AG61">
        <f t="shared" si="26"/>
        <v>7.5226844741594001E-3</v>
      </c>
      <c r="AH61">
        <f t="shared" si="26"/>
        <v>7.3931425235598926E-3</v>
      </c>
      <c r="AI61">
        <f t="shared" si="26"/>
        <v>7.2667105261233862E-3</v>
      </c>
      <c r="AJ61">
        <f t="shared" si="19"/>
        <v>7.1433884818498669E-3</v>
      </c>
      <c r="AK61">
        <f t="shared" si="19"/>
        <v>7.023176390739334E-3</v>
      </c>
      <c r="AL61">
        <f t="shared" si="19"/>
        <v>6.906074252791803E-3</v>
      </c>
      <c r="AM61">
        <f t="shared" si="19"/>
        <v>6.7920820680072592E-3</v>
      </c>
      <c r="AN61">
        <f t="shared" si="19"/>
        <v>6.6811998363857025E-3</v>
      </c>
      <c r="AO61">
        <f t="shared" si="19"/>
        <v>6.5734275579271469E-3</v>
      </c>
      <c r="AP61">
        <f t="shared" si="19"/>
        <v>6.4687652326315785E-3</v>
      </c>
      <c r="AQ61">
        <f t="shared" si="19"/>
        <v>6.3672128604989973E-3</v>
      </c>
      <c r="AR61">
        <f t="shared" si="27"/>
        <v>6.2687704415294102E-3</v>
      </c>
      <c r="AS61">
        <f t="shared" si="27"/>
        <v>6.1734379757228102E-3</v>
      </c>
      <c r="AT61">
        <f t="shared" si="27"/>
        <v>6.0812154630792113E-3</v>
      </c>
      <c r="AU61">
        <f t="shared" si="27"/>
        <v>5.9921029035985987E-3</v>
      </c>
      <c r="AV61">
        <f t="shared" si="27"/>
        <v>5.9061002972809742E-3</v>
      </c>
      <c r="AW61">
        <f t="shared" si="27"/>
        <v>5.8232076441263438E-3</v>
      </c>
      <c r="AX61">
        <f t="shared" si="27"/>
        <v>5.7434249441347075E-3</v>
      </c>
      <c r="AY61">
        <f t="shared" si="27"/>
        <v>5.6667521973060584E-3</v>
      </c>
      <c r="AZ61">
        <f t="shared" si="27"/>
        <v>5.5931894036404034E-3</v>
      </c>
      <c r="BA61">
        <f t="shared" si="27"/>
        <v>5.5227365631377347E-3</v>
      </c>
      <c r="BB61">
        <f t="shared" si="27"/>
        <v>5.455393675798061E-3</v>
      </c>
      <c r="BC61">
        <f t="shared" si="27"/>
        <v>5.3911607416213814E-3</v>
      </c>
      <c r="BD61">
        <f t="shared" si="27"/>
        <v>5.330037760607689E-3</v>
      </c>
      <c r="BE61">
        <f t="shared" si="27"/>
        <v>5.2720247327569907E-3</v>
      </c>
      <c r="BF61">
        <f t="shared" si="27"/>
        <v>5.2171216580692865E-3</v>
      </c>
      <c r="BG61">
        <f t="shared" si="27"/>
        <v>5.1653285365445695E-3</v>
      </c>
      <c r="BH61">
        <f t="shared" si="22"/>
        <v>5.1166453681828396E-3</v>
      </c>
      <c r="BI61">
        <f t="shared" si="22"/>
        <v>5.0710721529841039E-3</v>
      </c>
      <c r="BJ61">
        <f t="shared" si="22"/>
        <v>5.0286088909483615E-3</v>
      </c>
      <c r="BK61">
        <f t="shared" si="22"/>
        <v>4.989255582075614E-3</v>
      </c>
      <c r="BL61">
        <f t="shared" si="22"/>
        <v>4.9530122263658537E-3</v>
      </c>
      <c r="BM61">
        <f t="shared" si="22"/>
        <v>4.9198788238190875E-3</v>
      </c>
      <c r="BN61">
        <f t="shared" si="22"/>
        <v>4.8898553744353077E-3</v>
      </c>
      <c r="BO61">
        <f t="shared" si="25"/>
        <v>4.8629418782145236E-3</v>
      </c>
      <c r="BP61">
        <f t="shared" si="25"/>
        <v>4.839138335156732E-3</v>
      </c>
      <c r="BQ61">
        <f t="shared" si="25"/>
        <v>4.8184447452619284E-3</v>
      </c>
      <c r="BR61">
        <f t="shared" si="25"/>
        <v>4.800861108530112E-3</v>
      </c>
      <c r="BS61">
        <f t="shared" si="25"/>
        <v>4.7863874249612966E-3</v>
      </c>
      <c r="BT61">
        <f t="shared" si="25"/>
        <v>4.7750236945554685E-3</v>
      </c>
      <c r="BU61">
        <f t="shared" si="25"/>
        <v>4.7667699173126275E-3</v>
      </c>
      <c r="BV61">
        <f t="shared" si="25"/>
        <v>4.7616260932327806E-3</v>
      </c>
      <c r="BW61">
        <f t="shared" si="25"/>
        <v>4.7595922223159347E-3</v>
      </c>
      <c r="BX61">
        <f t="shared" si="25"/>
        <v>4.7606683045620683E-3</v>
      </c>
      <c r="BY61">
        <f t="shared" si="25"/>
        <v>4.7648543399711968E-3</v>
      </c>
      <c r="BZ61">
        <f t="shared" si="25"/>
        <v>4.7721503285433125E-3</v>
      </c>
      <c r="CA61">
        <f t="shared" si="25"/>
        <v>4.7825562702784302E-3</v>
      </c>
      <c r="CB61">
        <f t="shared" si="25"/>
        <v>4.7960721651765263E-3</v>
      </c>
      <c r="CC61">
        <f t="shared" si="25"/>
        <v>4.8126980132376243E-3</v>
      </c>
      <c r="CD61">
        <f t="shared" si="25"/>
        <v>4.8324338144617026E-3</v>
      </c>
      <c r="CE61">
        <f t="shared" si="18"/>
        <v>4.8552795688487889E-3</v>
      </c>
      <c r="CF61">
        <f t="shared" si="18"/>
        <v>4.8812352763988546E-3</v>
      </c>
      <c r="CG61">
        <f t="shared" si="24"/>
        <v>4.9103009371119083E-3</v>
      </c>
      <c r="CH61">
        <f t="shared" si="24"/>
        <v>4.9424765509879631E-3</v>
      </c>
      <c r="CI61">
        <f t="shared" si="24"/>
        <v>4.977762118027005E-3</v>
      </c>
      <c r="CJ61">
        <f t="shared" si="24"/>
        <v>5.0161576382290411E-3</v>
      </c>
      <c r="CK61">
        <f t="shared" si="24"/>
        <v>5.0576631115940643E-3</v>
      </c>
      <c r="CL61">
        <f t="shared" si="24"/>
        <v>5.1022785381220816E-3</v>
      </c>
      <c r="CM61">
        <f t="shared" si="24"/>
        <v>5.1500039178130862E-3</v>
      </c>
      <c r="CN61">
        <f t="shared" si="24"/>
        <v>5.2008392506670848E-3</v>
      </c>
      <c r="CO61">
        <f t="shared" si="24"/>
        <v>5.2547845366840776E-3</v>
      </c>
      <c r="CP61">
        <f t="shared" si="24"/>
        <v>5.3118397758640506E-3</v>
      </c>
      <c r="CQ61">
        <f t="shared" si="24"/>
        <v>5.3720049682070307E-3</v>
      </c>
      <c r="CR61">
        <f t="shared" si="24"/>
        <v>5.4352801137129911E-3</v>
      </c>
      <c r="CS61">
        <f t="shared" si="24"/>
        <v>5.5016652123819464E-3</v>
      </c>
      <c r="CT61">
        <f t="shared" si="24"/>
        <v>5.5711602642138959E-3</v>
      </c>
      <c r="CU61">
        <f t="shared" si="24"/>
        <v>5.6437652692088395E-3</v>
      </c>
      <c r="CV61">
        <f t="shared" si="24"/>
        <v>5.7194802273667633E-3</v>
      </c>
    </row>
    <row r="62" spans="19:100" x14ac:dyDescent="0.2">
      <c r="S62">
        <v>35.900000000000098</v>
      </c>
      <c r="T62">
        <f t="shared" si="26"/>
        <v>9.4986891703001432E-3</v>
      </c>
      <c r="U62">
        <f t="shared" si="26"/>
        <v>9.3286225979990218E-3</v>
      </c>
      <c r="V62">
        <f t="shared" si="26"/>
        <v>9.1616659788608928E-3</v>
      </c>
      <c r="W62">
        <f t="shared" si="26"/>
        <v>8.9978193128857579E-3</v>
      </c>
      <c r="X62">
        <f t="shared" si="26"/>
        <v>8.8370826000736171E-3</v>
      </c>
      <c r="Y62">
        <f t="shared" si="26"/>
        <v>8.6794558404244583E-3</v>
      </c>
      <c r="Z62">
        <f t="shared" si="26"/>
        <v>8.5249390339382919E-3</v>
      </c>
      <c r="AA62">
        <f t="shared" si="26"/>
        <v>8.3735321806151057E-3</v>
      </c>
      <c r="AB62">
        <f t="shared" si="26"/>
        <v>8.2252352804549275E-3</v>
      </c>
      <c r="AC62">
        <f t="shared" si="26"/>
        <v>8.0800483334577452E-3</v>
      </c>
      <c r="AD62">
        <f t="shared" si="26"/>
        <v>7.9379713396235414E-3</v>
      </c>
      <c r="AE62">
        <f t="shared" si="26"/>
        <v>7.7990042989523325E-3</v>
      </c>
      <c r="AF62">
        <f t="shared" si="26"/>
        <v>7.6631472114441169E-3</v>
      </c>
      <c r="AG62">
        <f t="shared" si="26"/>
        <v>7.5304000770988963E-3</v>
      </c>
      <c r="AH62">
        <f t="shared" si="26"/>
        <v>7.4007628959166551E-3</v>
      </c>
      <c r="AI62">
        <f t="shared" si="26"/>
        <v>7.2742356678974149E-3</v>
      </c>
      <c r="AJ62">
        <f t="shared" si="19"/>
        <v>7.1508183930411627E-3</v>
      </c>
      <c r="AK62">
        <f t="shared" si="19"/>
        <v>7.0305110713478969E-3</v>
      </c>
      <c r="AL62">
        <f t="shared" si="19"/>
        <v>6.913313702817633E-3</v>
      </c>
      <c r="AM62">
        <f t="shared" si="19"/>
        <v>6.7992262874503554E-3</v>
      </c>
      <c r="AN62">
        <f t="shared" si="19"/>
        <v>6.6882488252460659E-3</v>
      </c>
      <c r="AO62">
        <f t="shared" si="19"/>
        <v>6.5803813162047774E-3</v>
      </c>
      <c r="AP62">
        <f t="shared" si="19"/>
        <v>6.4756237603264752E-3</v>
      </c>
      <c r="AQ62">
        <f t="shared" si="19"/>
        <v>6.3739761576111602E-3</v>
      </c>
      <c r="AR62">
        <f t="shared" si="27"/>
        <v>6.2754385080588402E-3</v>
      </c>
      <c r="AS62">
        <f t="shared" si="27"/>
        <v>6.1800108116695073E-3</v>
      </c>
      <c r="AT62">
        <f t="shared" si="27"/>
        <v>6.0876930684431747E-3</v>
      </c>
      <c r="AU62">
        <f t="shared" si="27"/>
        <v>5.9984852783798301E-3</v>
      </c>
      <c r="AV62">
        <f t="shared" si="27"/>
        <v>5.9123874414794718E-3</v>
      </c>
      <c r="AW62">
        <f t="shared" si="27"/>
        <v>5.8293995577421076E-3</v>
      </c>
      <c r="AX62">
        <f t="shared" si="27"/>
        <v>5.7495216271677384E-3</v>
      </c>
      <c r="AY62">
        <f t="shared" si="27"/>
        <v>5.6727536497563564E-3</v>
      </c>
      <c r="AZ62">
        <f t="shared" si="27"/>
        <v>5.5990956255079676E-3</v>
      </c>
      <c r="BA62">
        <f t="shared" si="27"/>
        <v>5.5285475544225669E-3</v>
      </c>
      <c r="BB62">
        <f t="shared" si="27"/>
        <v>5.4611094365001594E-3</v>
      </c>
      <c r="BC62">
        <f t="shared" si="27"/>
        <v>5.396781271740746E-3</v>
      </c>
      <c r="BD62">
        <f t="shared" si="27"/>
        <v>5.3355630601443207E-3</v>
      </c>
      <c r="BE62">
        <f t="shared" si="27"/>
        <v>5.2774548017108895E-3</v>
      </c>
      <c r="BF62">
        <f t="shared" si="27"/>
        <v>5.2224564964404516E-3</v>
      </c>
      <c r="BG62">
        <f t="shared" si="27"/>
        <v>5.1705681443330008E-3</v>
      </c>
      <c r="BH62">
        <f t="shared" si="22"/>
        <v>5.1217897453885381E-3</v>
      </c>
      <c r="BI62">
        <f t="shared" si="22"/>
        <v>5.0761212996070695E-3</v>
      </c>
      <c r="BJ62">
        <f t="shared" si="22"/>
        <v>5.0335628069885941E-3</v>
      </c>
      <c r="BK62">
        <f t="shared" si="22"/>
        <v>4.9941142675331129E-3</v>
      </c>
      <c r="BL62">
        <f t="shared" si="22"/>
        <v>4.9577756812406197E-3</v>
      </c>
      <c r="BM62">
        <f t="shared" si="22"/>
        <v>4.9245470481111197E-3</v>
      </c>
      <c r="BN62">
        <f t="shared" si="22"/>
        <v>4.8944283681446078E-3</v>
      </c>
      <c r="BO62">
        <f t="shared" si="25"/>
        <v>4.8674196413410892E-3</v>
      </c>
      <c r="BP62">
        <f t="shared" si="25"/>
        <v>4.8435208677005655E-3</v>
      </c>
      <c r="BQ62">
        <f t="shared" si="25"/>
        <v>4.822732047223029E-3</v>
      </c>
      <c r="BR62">
        <f t="shared" si="25"/>
        <v>4.8050531799084788E-3</v>
      </c>
      <c r="BS62">
        <f t="shared" si="25"/>
        <v>4.7904842657569297E-3</v>
      </c>
      <c r="BT62">
        <f t="shared" si="25"/>
        <v>4.7790253047683686E-3</v>
      </c>
      <c r="BU62">
        <f t="shared" si="25"/>
        <v>4.7706762969427947E-3</v>
      </c>
      <c r="BV62">
        <f t="shared" si="25"/>
        <v>4.7654372422802141E-3</v>
      </c>
      <c r="BW62">
        <f t="shared" si="25"/>
        <v>4.7633081407806345E-3</v>
      </c>
      <c r="BX62">
        <f t="shared" si="25"/>
        <v>4.7642889924440351E-3</v>
      </c>
      <c r="BY62">
        <f t="shared" si="25"/>
        <v>4.7683797972704308E-3</v>
      </c>
      <c r="BZ62">
        <f t="shared" si="25"/>
        <v>4.7755805552598136E-3</v>
      </c>
      <c r="CA62">
        <f t="shared" si="25"/>
        <v>4.7858912664121966E-3</v>
      </c>
      <c r="CB62">
        <f t="shared" si="25"/>
        <v>4.7993119307275607E-3</v>
      </c>
      <c r="CC62">
        <f t="shared" si="25"/>
        <v>4.8158425482059258E-3</v>
      </c>
      <c r="CD62">
        <f t="shared" si="25"/>
        <v>4.8354831188472704E-3</v>
      </c>
      <c r="CE62">
        <f t="shared" si="18"/>
        <v>4.8582336426516229E-3</v>
      </c>
      <c r="CF62">
        <f t="shared" si="18"/>
        <v>4.8840941196189574E-3</v>
      </c>
      <c r="CG62">
        <f t="shared" si="24"/>
        <v>4.9130645497492765E-3</v>
      </c>
      <c r="CH62">
        <f t="shared" si="24"/>
        <v>4.9451449330425983E-3</v>
      </c>
      <c r="CI62">
        <f t="shared" si="24"/>
        <v>4.9803352694989065E-3</v>
      </c>
      <c r="CJ62">
        <f t="shared" si="24"/>
        <v>5.0186355591182088E-3</v>
      </c>
      <c r="CK62">
        <f t="shared" si="24"/>
        <v>5.0600458019005E-3</v>
      </c>
      <c r="CL62">
        <f t="shared" si="24"/>
        <v>5.1045659978457836E-3</v>
      </c>
      <c r="CM62">
        <f t="shared" si="24"/>
        <v>5.1521961469540543E-3</v>
      </c>
      <c r="CN62">
        <f t="shared" si="24"/>
        <v>5.202936249225321E-3</v>
      </c>
      <c r="CO62">
        <f t="shared" si="24"/>
        <v>5.25678630465958E-3</v>
      </c>
      <c r="CP62">
        <f t="shared" si="24"/>
        <v>5.3137463132568192E-3</v>
      </c>
      <c r="CQ62">
        <f t="shared" si="24"/>
        <v>5.3738162750170664E-3</v>
      </c>
      <c r="CR62">
        <f t="shared" si="24"/>
        <v>5.4369961899402948E-3</v>
      </c>
      <c r="CS62">
        <f t="shared" si="24"/>
        <v>5.5032860580265172E-3</v>
      </c>
      <c r="CT62">
        <f t="shared" si="24"/>
        <v>5.5726858792757329E-3</v>
      </c>
      <c r="CU62">
        <f t="shared" si="24"/>
        <v>5.6451956536879427E-3</v>
      </c>
      <c r="CV62">
        <f t="shared" si="24"/>
        <v>5.7208153812631337E-3</v>
      </c>
    </row>
    <row r="63" spans="19:100" x14ac:dyDescent="0.2">
      <c r="S63">
        <v>36.000000000000099</v>
      </c>
      <c r="T63">
        <f t="shared" si="26"/>
        <v>9.5085432245419904E-3</v>
      </c>
      <c r="U63">
        <f t="shared" si="26"/>
        <v>9.3383814216581335E-3</v>
      </c>
      <c r="V63">
        <f t="shared" si="26"/>
        <v>9.1713295719372725E-3</v>
      </c>
      <c r="W63">
        <f t="shared" si="26"/>
        <v>9.0073876753794038E-3</v>
      </c>
      <c r="X63">
        <f t="shared" si="26"/>
        <v>8.846555731984531E-3</v>
      </c>
      <c r="Y63">
        <f t="shared" si="26"/>
        <v>8.6888337417526385E-3</v>
      </c>
      <c r="Z63">
        <f t="shared" si="26"/>
        <v>8.5342217046837383E-3</v>
      </c>
      <c r="AA63">
        <f t="shared" si="26"/>
        <v>8.3827196207778201E-3</v>
      </c>
      <c r="AB63">
        <f t="shared" si="26"/>
        <v>8.2343274900349081E-3</v>
      </c>
      <c r="AC63">
        <f t="shared" si="26"/>
        <v>8.089045312454992E-3</v>
      </c>
      <c r="AD63">
        <f t="shared" si="26"/>
        <v>7.9468730880380544E-3</v>
      </c>
      <c r="AE63">
        <f t="shared" si="26"/>
        <v>7.8078108167841127E-3</v>
      </c>
      <c r="AF63">
        <f t="shared" si="26"/>
        <v>7.6718584986931642E-3</v>
      </c>
      <c r="AG63">
        <f t="shared" si="26"/>
        <v>7.5390161337652098E-3</v>
      </c>
      <c r="AH63">
        <f t="shared" si="26"/>
        <v>7.4092837220002357E-3</v>
      </c>
      <c r="AI63">
        <f t="shared" si="26"/>
        <v>7.2826612633982626E-3</v>
      </c>
      <c r="AJ63">
        <f t="shared" si="19"/>
        <v>7.1591487579592767E-3</v>
      </c>
      <c r="AK63">
        <f t="shared" si="19"/>
        <v>7.0387462056832779E-3</v>
      </c>
      <c r="AL63">
        <f t="shared" si="19"/>
        <v>6.9214536065702811E-3</v>
      </c>
      <c r="AM63">
        <f t="shared" si="19"/>
        <v>6.8072709606202706E-3</v>
      </c>
      <c r="AN63">
        <f t="shared" si="19"/>
        <v>6.6961982678332473E-3</v>
      </c>
      <c r="AO63">
        <f t="shared" si="19"/>
        <v>6.5882355282092251E-3</v>
      </c>
      <c r="AP63">
        <f t="shared" si="19"/>
        <v>6.48338274174819E-3</v>
      </c>
      <c r="AQ63">
        <f t="shared" si="19"/>
        <v>6.3816399084501421E-3</v>
      </c>
      <c r="AR63">
        <f t="shared" si="27"/>
        <v>6.2830070283150883E-3</v>
      </c>
      <c r="AS63">
        <f t="shared" si="27"/>
        <v>6.1874841013430226E-3</v>
      </c>
      <c r="AT63">
        <f t="shared" si="27"/>
        <v>6.095071127533957E-3</v>
      </c>
      <c r="AU63">
        <f t="shared" si="27"/>
        <v>6.0057681068878786E-3</v>
      </c>
      <c r="AV63">
        <f t="shared" si="27"/>
        <v>5.9195750394047874E-3</v>
      </c>
      <c r="AW63">
        <f t="shared" si="27"/>
        <v>5.8364919250846903E-3</v>
      </c>
      <c r="AX63">
        <f t="shared" si="27"/>
        <v>5.7565187639275874E-3</v>
      </c>
      <c r="AY63">
        <f t="shared" si="27"/>
        <v>5.6796555559334716E-3</v>
      </c>
      <c r="AZ63">
        <f t="shared" si="27"/>
        <v>5.6059023011023508E-3</v>
      </c>
      <c r="BA63">
        <f t="shared" si="27"/>
        <v>5.5352589994342154E-3</v>
      </c>
      <c r="BB63">
        <f t="shared" si="27"/>
        <v>5.4677256509290759E-3</v>
      </c>
      <c r="BC63">
        <f t="shared" si="27"/>
        <v>5.4033022555869297E-3</v>
      </c>
      <c r="BD63">
        <f t="shared" si="27"/>
        <v>5.3419888134077706E-3</v>
      </c>
      <c r="BE63">
        <f t="shared" si="27"/>
        <v>5.2837853243916056E-3</v>
      </c>
      <c r="BF63">
        <f t="shared" si="27"/>
        <v>5.2286917885384348E-3</v>
      </c>
      <c r="BG63">
        <f t="shared" si="27"/>
        <v>5.1767082058482511E-3</v>
      </c>
      <c r="BH63">
        <f t="shared" si="22"/>
        <v>5.1278345763210546E-3</v>
      </c>
      <c r="BI63">
        <f t="shared" si="22"/>
        <v>5.0820708999568531E-3</v>
      </c>
      <c r="BJ63">
        <f t="shared" si="22"/>
        <v>5.0394171767556449E-3</v>
      </c>
      <c r="BK63">
        <f t="shared" si="22"/>
        <v>4.9998734067174307E-3</v>
      </c>
      <c r="BL63">
        <f t="shared" si="22"/>
        <v>4.9634395898422038E-3</v>
      </c>
      <c r="BM63">
        <f t="shared" si="22"/>
        <v>4.9301157261299709E-3</v>
      </c>
      <c r="BN63">
        <f t="shared" si="22"/>
        <v>4.8999018155807253E-3</v>
      </c>
      <c r="BO63">
        <f t="shared" si="25"/>
        <v>4.8727978581944737E-3</v>
      </c>
      <c r="BP63">
        <f t="shared" si="25"/>
        <v>4.8488038539712171E-3</v>
      </c>
      <c r="BQ63">
        <f t="shared" si="25"/>
        <v>4.827919802910946E-3</v>
      </c>
      <c r="BR63">
        <f t="shared" si="25"/>
        <v>4.8101457050136638E-3</v>
      </c>
      <c r="BS63">
        <f t="shared" si="25"/>
        <v>4.7954815602793818E-3</v>
      </c>
      <c r="BT63">
        <f t="shared" si="25"/>
        <v>4.7839273687080869E-3</v>
      </c>
      <c r="BU63">
        <f t="shared" si="25"/>
        <v>4.7754831302997793E-3</v>
      </c>
      <c r="BV63">
        <f t="shared" si="25"/>
        <v>4.7701488450544657E-3</v>
      </c>
      <c r="BW63">
        <f t="shared" si="25"/>
        <v>4.7679245129721541E-3</v>
      </c>
      <c r="BX63">
        <f t="shared" si="25"/>
        <v>4.768810134052821E-3</v>
      </c>
      <c r="BY63">
        <f t="shared" si="25"/>
        <v>4.7728057082964837E-3</v>
      </c>
      <c r="BZ63">
        <f t="shared" si="25"/>
        <v>4.7799112357031319E-3</v>
      </c>
      <c r="CA63">
        <f t="shared" si="25"/>
        <v>4.7901267162727829E-3</v>
      </c>
      <c r="CB63">
        <f t="shared" si="25"/>
        <v>4.8034521500054141E-3</v>
      </c>
      <c r="CC63">
        <f t="shared" si="25"/>
        <v>4.8198875369010446E-3</v>
      </c>
      <c r="CD63">
        <f t="shared" si="25"/>
        <v>4.8394328769596571E-3</v>
      </c>
      <c r="CE63">
        <f t="shared" si="18"/>
        <v>4.8620881701812758E-3</v>
      </c>
      <c r="CF63">
        <f t="shared" si="18"/>
        <v>4.8878534165658766E-3</v>
      </c>
      <c r="CG63">
        <f t="shared" si="24"/>
        <v>4.9167286161134627E-3</v>
      </c>
      <c r="CH63">
        <f t="shared" si="24"/>
        <v>4.9487137688240517E-3</v>
      </c>
      <c r="CI63">
        <f t="shared" si="24"/>
        <v>4.9838088746976261E-3</v>
      </c>
      <c r="CJ63">
        <f t="shared" si="24"/>
        <v>5.0220139337341964E-3</v>
      </c>
      <c r="CK63">
        <f t="shared" si="24"/>
        <v>5.063328945933753E-3</v>
      </c>
      <c r="CL63">
        <f t="shared" si="24"/>
        <v>5.1077539112963036E-3</v>
      </c>
      <c r="CM63">
        <f t="shared" si="24"/>
        <v>5.1552888298218424E-3</v>
      </c>
      <c r="CN63">
        <f t="shared" si="24"/>
        <v>5.2059337015103744E-3</v>
      </c>
      <c r="CO63">
        <f t="shared" si="24"/>
        <v>5.2596885263619005E-3</v>
      </c>
      <c r="CP63">
        <f t="shared" si="24"/>
        <v>5.3165533043764077E-3</v>
      </c>
      <c r="CQ63">
        <f t="shared" si="24"/>
        <v>5.3765280355539211E-3</v>
      </c>
      <c r="CR63">
        <f t="shared" si="24"/>
        <v>5.4396127198944157E-3</v>
      </c>
      <c r="CS63">
        <f t="shared" si="24"/>
        <v>5.5058073573979044E-3</v>
      </c>
      <c r="CT63">
        <f t="shared" si="24"/>
        <v>5.5751119480643881E-3</v>
      </c>
      <c r="CU63">
        <f t="shared" si="24"/>
        <v>5.6475264918938641E-3</v>
      </c>
      <c r="CV63">
        <f t="shared" si="24"/>
        <v>5.7230509888863221E-3</v>
      </c>
    </row>
    <row r="64" spans="19:100" x14ac:dyDescent="0.2">
      <c r="S64">
        <v>36.100000000000101</v>
      </c>
      <c r="T64">
        <f t="shared" si="26"/>
        <v>9.5192977325106471E-3</v>
      </c>
      <c r="U64">
        <f t="shared" si="26"/>
        <v>9.3490406990440582E-3</v>
      </c>
      <c r="V64">
        <f t="shared" si="26"/>
        <v>9.1818936187404634E-3</v>
      </c>
      <c r="W64">
        <f t="shared" si="26"/>
        <v>9.017856491599861E-3</v>
      </c>
      <c r="X64">
        <f t="shared" si="26"/>
        <v>8.8569293176222544E-3</v>
      </c>
      <c r="Y64">
        <f t="shared" si="26"/>
        <v>8.6991120968076281E-3</v>
      </c>
      <c r="Z64">
        <f t="shared" si="26"/>
        <v>8.5444048291559958E-3</v>
      </c>
      <c r="AA64">
        <f t="shared" si="26"/>
        <v>8.3928075146673439E-3</v>
      </c>
      <c r="AB64">
        <f t="shared" si="26"/>
        <v>8.2443201533416999E-3</v>
      </c>
      <c r="AC64">
        <f t="shared" si="26"/>
        <v>8.09894274517905E-3</v>
      </c>
      <c r="AD64">
        <f t="shared" si="26"/>
        <v>7.9566752901793804E-3</v>
      </c>
      <c r="AE64">
        <f t="shared" si="26"/>
        <v>7.8175177883427031E-3</v>
      </c>
      <c r="AF64">
        <f t="shared" si="26"/>
        <v>7.6814702396690226E-3</v>
      </c>
      <c r="AG64">
        <f t="shared" si="26"/>
        <v>7.5485326441583345E-3</v>
      </c>
      <c r="AH64">
        <f t="shared" si="26"/>
        <v>7.4187050018106274E-3</v>
      </c>
      <c r="AI64">
        <f t="shared" si="26"/>
        <v>7.2919873126259215E-3</v>
      </c>
      <c r="AJ64">
        <f t="shared" si="19"/>
        <v>7.1683795766042026E-3</v>
      </c>
      <c r="AK64">
        <f t="shared" si="19"/>
        <v>7.0478817937454702E-3</v>
      </c>
      <c r="AL64">
        <f t="shared" si="19"/>
        <v>6.9304939640497396E-3</v>
      </c>
      <c r="AM64">
        <f t="shared" si="19"/>
        <v>6.8162160875169962E-3</v>
      </c>
      <c r="AN64">
        <f t="shared" si="19"/>
        <v>6.70504816414724E-3</v>
      </c>
      <c r="AO64">
        <f t="shared" si="19"/>
        <v>6.596990193940484E-3</v>
      </c>
      <c r="AP64">
        <f t="shared" si="19"/>
        <v>6.492042176896716E-3</v>
      </c>
      <c r="AQ64">
        <f t="shared" si="19"/>
        <v>6.3902041130159352E-3</v>
      </c>
      <c r="AR64">
        <f t="shared" si="27"/>
        <v>6.2914760022981485E-3</v>
      </c>
      <c r="AS64">
        <f t="shared" si="27"/>
        <v>6.195857844743349E-3</v>
      </c>
      <c r="AT64">
        <f t="shared" si="27"/>
        <v>6.1033496403515505E-3</v>
      </c>
      <c r="AU64">
        <f t="shared" si="27"/>
        <v>6.0139513891227384E-3</v>
      </c>
      <c r="AV64">
        <f t="shared" si="27"/>
        <v>5.9276630910569143E-3</v>
      </c>
      <c r="AW64">
        <f t="shared" si="27"/>
        <v>5.8444847461540834E-3</v>
      </c>
      <c r="AX64">
        <f t="shared" si="27"/>
        <v>5.7644163544142476E-3</v>
      </c>
      <c r="AY64">
        <f t="shared" si="27"/>
        <v>5.6874579158373989E-3</v>
      </c>
      <c r="AZ64">
        <f t="shared" si="27"/>
        <v>5.6136094304235443E-3</v>
      </c>
      <c r="BA64">
        <f t="shared" si="27"/>
        <v>5.5428708981726769E-3</v>
      </c>
      <c r="BB64">
        <f t="shared" si="27"/>
        <v>5.4752423190848028E-3</v>
      </c>
      <c r="BC64">
        <f t="shared" si="27"/>
        <v>5.4107236931599237E-3</v>
      </c>
      <c r="BD64">
        <f t="shared" si="27"/>
        <v>5.3493150203980317E-3</v>
      </c>
      <c r="BE64">
        <f t="shared" si="27"/>
        <v>5.2910163007991338E-3</v>
      </c>
      <c r="BF64">
        <f t="shared" si="27"/>
        <v>5.2358275343632292E-3</v>
      </c>
      <c r="BG64">
        <f t="shared" si="27"/>
        <v>5.1837487210903126E-3</v>
      </c>
      <c r="BH64">
        <f t="shared" si="22"/>
        <v>5.1347798609803832E-3</v>
      </c>
      <c r="BI64">
        <f t="shared" si="22"/>
        <v>5.088920954033448E-3</v>
      </c>
      <c r="BJ64">
        <f t="shared" si="22"/>
        <v>5.0461720002495068E-3</v>
      </c>
      <c r="BK64">
        <f t="shared" si="22"/>
        <v>5.0065329996285589E-3</v>
      </c>
      <c r="BL64">
        <f t="shared" si="22"/>
        <v>4.9700039521705991E-3</v>
      </c>
      <c r="BM64">
        <f t="shared" si="22"/>
        <v>4.9365848578756324E-3</v>
      </c>
      <c r="BN64">
        <f t="shared" si="22"/>
        <v>4.9062757167436539E-3</v>
      </c>
      <c r="BO64">
        <f t="shared" si="25"/>
        <v>4.8790765287746694E-3</v>
      </c>
      <c r="BP64">
        <f t="shared" si="25"/>
        <v>4.8549872939686791E-3</v>
      </c>
      <c r="BQ64">
        <f t="shared" si="25"/>
        <v>4.834008012325676E-3</v>
      </c>
      <c r="BR64">
        <f t="shared" si="25"/>
        <v>4.81613868384566E-3</v>
      </c>
      <c r="BS64">
        <f t="shared" si="25"/>
        <v>4.8013793085286451E-3</v>
      </c>
      <c r="BT64">
        <f t="shared" si="25"/>
        <v>4.7897298863746164E-3</v>
      </c>
      <c r="BU64">
        <f t="shared" si="25"/>
        <v>4.781190417383575E-3</v>
      </c>
      <c r="BV64">
        <f t="shared" si="25"/>
        <v>4.7757609015555286E-3</v>
      </c>
      <c r="BW64">
        <f t="shared" si="25"/>
        <v>4.7734413388904832E-3</v>
      </c>
      <c r="BX64">
        <f t="shared" si="25"/>
        <v>4.774231729388418E-3</v>
      </c>
      <c r="BY64">
        <f t="shared" si="25"/>
        <v>4.778132073049347E-3</v>
      </c>
      <c r="BZ64">
        <f t="shared" si="25"/>
        <v>4.7851423698732631E-3</v>
      </c>
      <c r="CA64">
        <f t="shared" si="25"/>
        <v>4.7952626198601803E-3</v>
      </c>
      <c r="CB64">
        <f t="shared" si="25"/>
        <v>4.8084928230100778E-3</v>
      </c>
      <c r="CC64">
        <f t="shared" si="25"/>
        <v>4.8248329793229754E-3</v>
      </c>
      <c r="CD64">
        <f t="shared" si="25"/>
        <v>4.8442830887988541E-3</v>
      </c>
      <c r="CE64">
        <f t="shared" si="18"/>
        <v>4.86684315143774E-3</v>
      </c>
      <c r="CF64">
        <f t="shared" si="18"/>
        <v>4.892513167239607E-3</v>
      </c>
      <c r="CG64">
        <f t="shared" si="24"/>
        <v>4.9212931362044611E-3</v>
      </c>
      <c r="CH64">
        <f t="shared" si="24"/>
        <v>4.9531830583323163E-3</v>
      </c>
      <c r="CI64">
        <f t="shared" si="24"/>
        <v>4.9881829336231578E-3</v>
      </c>
      <c r="CJ64">
        <f t="shared" si="24"/>
        <v>5.0262927620769943E-3</v>
      </c>
      <c r="CK64">
        <f t="shared" si="24"/>
        <v>5.0675125436938171E-3</v>
      </c>
      <c r="CL64">
        <f t="shared" si="24"/>
        <v>5.1118422784736349E-3</v>
      </c>
      <c r="CM64">
        <f t="shared" si="24"/>
        <v>5.1592819664164399E-3</v>
      </c>
      <c r="CN64">
        <f t="shared" si="24"/>
        <v>5.2098316075222389E-3</v>
      </c>
      <c r="CO64">
        <f t="shared" si="24"/>
        <v>5.2634912017910322E-3</v>
      </c>
      <c r="CP64">
        <f t="shared" si="24"/>
        <v>5.3202607492228056E-3</v>
      </c>
      <c r="CQ64">
        <f t="shared" si="24"/>
        <v>5.380140249817587E-3</v>
      </c>
      <c r="CR64">
        <f t="shared" si="24"/>
        <v>5.4431297035753478E-3</v>
      </c>
      <c r="CS64">
        <f t="shared" si="24"/>
        <v>5.5092291104961036E-3</v>
      </c>
      <c r="CT64">
        <f t="shared" si="24"/>
        <v>5.5784384705798527E-3</v>
      </c>
      <c r="CU64">
        <f t="shared" si="24"/>
        <v>5.6507577838265967E-3</v>
      </c>
      <c r="CV64">
        <f t="shared" si="24"/>
        <v>5.7261870502363209E-3</v>
      </c>
    </row>
    <row r="65" spans="19:100" x14ac:dyDescent="0.2">
      <c r="S65">
        <v>36.200000000000102</v>
      </c>
      <c r="T65">
        <f t="shared" si="26"/>
        <v>9.5309526942061289E-3</v>
      </c>
      <c r="U65">
        <f t="shared" si="26"/>
        <v>9.3606004301568062E-3</v>
      </c>
      <c r="V65">
        <f t="shared" si="26"/>
        <v>9.1933581192704776E-3</v>
      </c>
      <c r="W65">
        <f t="shared" si="26"/>
        <v>9.0292257615471449E-3</v>
      </c>
      <c r="X65">
        <f t="shared" si="26"/>
        <v>8.8682033569868046E-3</v>
      </c>
      <c r="Y65">
        <f t="shared" si="26"/>
        <v>8.7102909055894445E-3</v>
      </c>
      <c r="Z65">
        <f t="shared" si="26"/>
        <v>8.5554884073550785E-3</v>
      </c>
      <c r="AA65">
        <f t="shared" si="26"/>
        <v>8.4037958622836927E-3</v>
      </c>
      <c r="AB65">
        <f t="shared" si="26"/>
        <v>8.2552132703753167E-3</v>
      </c>
      <c r="AC65">
        <f t="shared" si="26"/>
        <v>8.1097406316299331E-3</v>
      </c>
      <c r="AD65">
        <f t="shared" si="26"/>
        <v>7.9673779460475297E-3</v>
      </c>
      <c r="AE65">
        <f t="shared" si="26"/>
        <v>7.8281252136281204E-3</v>
      </c>
      <c r="AF65">
        <f t="shared" si="26"/>
        <v>7.6919824343717053E-3</v>
      </c>
      <c r="AG65">
        <f t="shared" si="26"/>
        <v>7.5589496082782851E-3</v>
      </c>
      <c r="AH65">
        <f t="shared" si="26"/>
        <v>7.4290267353478443E-3</v>
      </c>
      <c r="AI65">
        <f t="shared" si="26"/>
        <v>7.3022138155804054E-3</v>
      </c>
      <c r="AJ65">
        <f t="shared" si="19"/>
        <v>7.1785108489759528E-3</v>
      </c>
      <c r="AK65">
        <f t="shared" si="19"/>
        <v>7.0579178355344874E-3</v>
      </c>
      <c r="AL65">
        <f t="shared" si="19"/>
        <v>6.940434775256024E-3</v>
      </c>
      <c r="AM65">
        <f t="shared" si="19"/>
        <v>6.8260616681405468E-3</v>
      </c>
      <c r="AN65">
        <f t="shared" si="19"/>
        <v>6.7147985141880577E-3</v>
      </c>
      <c r="AO65">
        <f t="shared" si="19"/>
        <v>6.6066453133985688E-3</v>
      </c>
      <c r="AP65">
        <f t="shared" si="19"/>
        <v>6.501602065772067E-3</v>
      </c>
      <c r="AQ65">
        <f t="shared" si="19"/>
        <v>6.3996687713085533E-3</v>
      </c>
      <c r="AR65">
        <f t="shared" si="27"/>
        <v>6.3008454300080329E-3</v>
      </c>
      <c r="AS65">
        <f t="shared" si="27"/>
        <v>6.2051320418705005E-3</v>
      </c>
      <c r="AT65">
        <f t="shared" si="27"/>
        <v>6.1125286068959683E-3</v>
      </c>
      <c r="AU65">
        <f t="shared" si="27"/>
        <v>6.0230351250844232E-3</v>
      </c>
      <c r="AV65">
        <f t="shared" si="27"/>
        <v>5.9366515964358662E-3</v>
      </c>
      <c r="AW65">
        <f t="shared" si="27"/>
        <v>5.8533780209503025E-3</v>
      </c>
      <c r="AX65">
        <f t="shared" si="27"/>
        <v>5.7732143986277337E-3</v>
      </c>
      <c r="AY65">
        <f t="shared" si="27"/>
        <v>5.6961607294681513E-3</v>
      </c>
      <c r="AZ65">
        <f t="shared" si="27"/>
        <v>5.6222170134715629E-3</v>
      </c>
      <c r="BA65">
        <f t="shared" si="27"/>
        <v>5.5513832506379627E-3</v>
      </c>
      <c r="BB65">
        <f t="shared" si="27"/>
        <v>5.4836594409673556E-3</v>
      </c>
      <c r="BC65">
        <f t="shared" si="27"/>
        <v>5.4190455844597436E-3</v>
      </c>
      <c r="BD65">
        <f t="shared" si="27"/>
        <v>5.3575416811151178E-3</v>
      </c>
      <c r="BE65">
        <f t="shared" si="27"/>
        <v>5.2991477309334862E-3</v>
      </c>
      <c r="BF65">
        <f t="shared" si="27"/>
        <v>5.2438637339148495E-3</v>
      </c>
      <c r="BG65">
        <f t="shared" si="27"/>
        <v>5.1916896900591992E-3</v>
      </c>
      <c r="BH65">
        <f t="shared" si="22"/>
        <v>5.1426255993665369E-3</v>
      </c>
      <c r="BI65">
        <f t="shared" si="22"/>
        <v>5.0966714618368679E-3</v>
      </c>
      <c r="BJ65">
        <f t="shared" si="22"/>
        <v>5.053827277470193E-3</v>
      </c>
      <c r="BK65">
        <f t="shared" si="22"/>
        <v>5.014093046266513E-3</v>
      </c>
      <c r="BL65">
        <f t="shared" si="22"/>
        <v>4.9774687682258194E-3</v>
      </c>
      <c r="BM65">
        <f t="shared" si="22"/>
        <v>4.9439544433481199E-3</v>
      </c>
      <c r="BN65">
        <f t="shared" si="22"/>
        <v>4.9135500716334084E-3</v>
      </c>
      <c r="BO65">
        <f t="shared" si="25"/>
        <v>4.8862556530816902E-3</v>
      </c>
      <c r="BP65">
        <f t="shared" si="25"/>
        <v>4.8620711876929661E-3</v>
      </c>
      <c r="BQ65">
        <f t="shared" si="25"/>
        <v>4.8409966754672301E-3</v>
      </c>
      <c r="BR65">
        <f t="shared" si="25"/>
        <v>4.8230321164044812E-3</v>
      </c>
      <c r="BS65">
        <f t="shared" si="25"/>
        <v>4.8081775105047325E-3</v>
      </c>
      <c r="BT65">
        <f t="shared" si="25"/>
        <v>4.796432857767971E-3</v>
      </c>
      <c r="BU65">
        <f t="shared" si="25"/>
        <v>4.7877981581941967E-3</v>
      </c>
      <c r="BV65">
        <f t="shared" si="25"/>
        <v>4.7822734117834173E-3</v>
      </c>
      <c r="BW65">
        <f t="shared" si="25"/>
        <v>4.7798586185356391E-3</v>
      </c>
      <c r="BX65">
        <f t="shared" si="25"/>
        <v>4.7805537784508401E-3</v>
      </c>
      <c r="BY65">
        <f t="shared" si="25"/>
        <v>4.7843588915290353E-3</v>
      </c>
      <c r="BZ65">
        <f t="shared" si="25"/>
        <v>4.7912739577702177E-3</v>
      </c>
      <c r="CA65">
        <f t="shared" si="25"/>
        <v>4.801298977174402E-3</v>
      </c>
      <c r="CB65">
        <f t="shared" si="25"/>
        <v>4.8144339497415665E-3</v>
      </c>
      <c r="CC65">
        <f t="shared" si="25"/>
        <v>4.8306788754717313E-3</v>
      </c>
      <c r="CD65">
        <f t="shared" si="25"/>
        <v>4.8500337543648762E-3</v>
      </c>
      <c r="CE65">
        <f t="shared" si="18"/>
        <v>4.8724985864210292E-3</v>
      </c>
      <c r="CF65">
        <f t="shared" si="18"/>
        <v>4.8980733716401633E-3</v>
      </c>
      <c r="CG65">
        <f t="shared" si="24"/>
        <v>4.9267581100222837E-3</v>
      </c>
      <c r="CH65">
        <f t="shared" si="24"/>
        <v>4.958552801567406E-3</v>
      </c>
      <c r="CI65">
        <f t="shared" si="24"/>
        <v>4.9934574462755146E-3</v>
      </c>
      <c r="CJ65">
        <f t="shared" si="24"/>
        <v>5.0314720441466173E-3</v>
      </c>
      <c r="CK65">
        <f t="shared" si="24"/>
        <v>5.0725965951807072E-3</v>
      </c>
      <c r="CL65">
        <f t="shared" si="24"/>
        <v>5.1168310993777921E-3</v>
      </c>
      <c r="CM65">
        <f t="shared" si="24"/>
        <v>5.1641755567378642E-3</v>
      </c>
      <c r="CN65">
        <f t="shared" si="24"/>
        <v>5.2146299672609295E-3</v>
      </c>
      <c r="CO65">
        <f t="shared" si="24"/>
        <v>5.2681943309469889E-3</v>
      </c>
      <c r="CP65">
        <f t="shared" si="24"/>
        <v>5.3248686477960295E-3</v>
      </c>
      <c r="CQ65">
        <f t="shared" si="24"/>
        <v>5.3846529178080771E-3</v>
      </c>
      <c r="CR65">
        <f t="shared" si="24"/>
        <v>5.4475471409831059E-3</v>
      </c>
      <c r="CS65">
        <f t="shared" si="24"/>
        <v>5.5135513173211279E-3</v>
      </c>
      <c r="CT65">
        <f t="shared" si="24"/>
        <v>5.5826654468221441E-3</v>
      </c>
      <c r="CU65">
        <f t="shared" si="24"/>
        <v>5.6548895294861543E-3</v>
      </c>
      <c r="CV65">
        <f t="shared" si="24"/>
        <v>5.7302235653131457E-3</v>
      </c>
    </row>
    <row r="66" spans="19:100" x14ac:dyDescent="0.2">
      <c r="S66">
        <v>36.300000000000097</v>
      </c>
      <c r="T66">
        <f t="shared" si="26"/>
        <v>9.5435081096284288E-3</v>
      </c>
      <c r="U66">
        <f t="shared" si="26"/>
        <v>9.373060614996374E-3</v>
      </c>
      <c r="V66">
        <f t="shared" si="26"/>
        <v>9.2057230735273117E-3</v>
      </c>
      <c r="W66">
        <f t="shared" si="26"/>
        <v>9.0414954852212452E-3</v>
      </c>
      <c r="X66">
        <f t="shared" si="26"/>
        <v>8.8803778500781711E-3</v>
      </c>
      <c r="Y66">
        <f t="shared" si="26"/>
        <v>8.722370168098079E-3</v>
      </c>
      <c r="Z66">
        <f t="shared" si="26"/>
        <v>8.5674724392809792E-3</v>
      </c>
      <c r="AA66">
        <f t="shared" si="26"/>
        <v>8.4156846636268615E-3</v>
      </c>
      <c r="AB66">
        <f t="shared" si="26"/>
        <v>8.2670068411357499E-3</v>
      </c>
      <c r="AC66">
        <f t="shared" si="26"/>
        <v>8.1214389718076343E-3</v>
      </c>
      <c r="AD66">
        <f t="shared" si="26"/>
        <v>7.9789810556424971E-3</v>
      </c>
      <c r="AE66">
        <f t="shared" si="26"/>
        <v>7.8396330926403558E-3</v>
      </c>
      <c r="AF66">
        <f t="shared" si="26"/>
        <v>7.7033950828012069E-3</v>
      </c>
      <c r="AG66">
        <f t="shared" si="26"/>
        <v>7.5702670261250538E-3</v>
      </c>
      <c r="AH66">
        <f t="shared" si="26"/>
        <v>7.4402489226118801E-3</v>
      </c>
      <c r="AI66">
        <f t="shared" si="26"/>
        <v>7.3133407722617075E-3</v>
      </c>
      <c r="AJ66">
        <f t="shared" si="19"/>
        <v>7.189542575074522E-3</v>
      </c>
      <c r="AK66">
        <f t="shared" si="19"/>
        <v>7.0688543310503237E-3</v>
      </c>
      <c r="AL66">
        <f t="shared" si="19"/>
        <v>6.9512760401891265E-3</v>
      </c>
      <c r="AM66">
        <f t="shared" si="19"/>
        <v>6.8368077024909164E-3</v>
      </c>
      <c r="AN66">
        <f t="shared" si="19"/>
        <v>6.7254493179556936E-3</v>
      </c>
      <c r="AO66">
        <f t="shared" si="19"/>
        <v>6.6172008865834717E-3</v>
      </c>
      <c r="AP66">
        <f t="shared" si="19"/>
        <v>6.5120624083742371E-3</v>
      </c>
      <c r="AQ66">
        <f t="shared" si="19"/>
        <v>6.4100338833279896E-3</v>
      </c>
      <c r="AR66">
        <f t="shared" si="27"/>
        <v>6.3111153114447363E-3</v>
      </c>
      <c r="AS66">
        <f t="shared" si="27"/>
        <v>6.2153066927244701E-3</v>
      </c>
      <c r="AT66">
        <f t="shared" si="27"/>
        <v>6.122608027167205E-3</v>
      </c>
      <c r="AU66">
        <f t="shared" si="27"/>
        <v>6.033019314772927E-3</v>
      </c>
      <c r="AV66">
        <f t="shared" si="27"/>
        <v>5.9465405555416363E-3</v>
      </c>
      <c r="AW66">
        <f t="shared" si="27"/>
        <v>5.8631717494733396E-3</v>
      </c>
      <c r="AX66">
        <f t="shared" si="27"/>
        <v>5.7829128965680371E-3</v>
      </c>
      <c r="AY66">
        <f t="shared" si="27"/>
        <v>5.7057639968257218E-3</v>
      </c>
      <c r="AZ66">
        <f t="shared" si="27"/>
        <v>5.6317250502464005E-3</v>
      </c>
      <c r="BA66">
        <f t="shared" si="27"/>
        <v>5.5607960568300665E-3</v>
      </c>
      <c r="BB66">
        <f t="shared" si="27"/>
        <v>5.4929770165767266E-3</v>
      </c>
      <c r="BC66">
        <f t="shared" si="27"/>
        <v>5.4282679294863807E-3</v>
      </c>
      <c r="BD66">
        <f t="shared" si="27"/>
        <v>5.3666687955590221E-3</v>
      </c>
      <c r="BE66">
        <f t="shared" si="27"/>
        <v>5.3081796147946576E-3</v>
      </c>
      <c r="BF66">
        <f t="shared" si="27"/>
        <v>5.2528003871932872E-3</v>
      </c>
      <c r="BG66">
        <f t="shared" si="27"/>
        <v>5.2005311127549039E-3</v>
      </c>
      <c r="BH66">
        <f t="shared" si="22"/>
        <v>5.1513717914795079E-3</v>
      </c>
      <c r="BI66">
        <f t="shared" si="22"/>
        <v>5.1053224233671059E-3</v>
      </c>
      <c r="BJ66">
        <f t="shared" si="22"/>
        <v>5.062383008417699E-3</v>
      </c>
      <c r="BK66">
        <f t="shared" si="22"/>
        <v>5.0225535466312844E-3</v>
      </c>
      <c r="BL66">
        <f t="shared" si="22"/>
        <v>4.9858340380078579E-3</v>
      </c>
      <c r="BM66">
        <f t="shared" si="22"/>
        <v>4.9522244825474255E-3</v>
      </c>
      <c r="BN66">
        <f t="shared" si="22"/>
        <v>4.9217248802499803E-3</v>
      </c>
      <c r="BO66">
        <f t="shared" si="25"/>
        <v>4.8943352311155292E-3</v>
      </c>
      <c r="BP66">
        <f t="shared" si="25"/>
        <v>4.870055535144073E-3</v>
      </c>
      <c r="BQ66">
        <f t="shared" si="25"/>
        <v>4.8488857923356023E-3</v>
      </c>
      <c r="BR66">
        <f t="shared" si="25"/>
        <v>4.8308260026901206E-3</v>
      </c>
      <c r="BS66">
        <f t="shared" si="25"/>
        <v>4.8158761662076381E-3</v>
      </c>
      <c r="BT66">
        <f t="shared" si="25"/>
        <v>4.8040362828881446E-3</v>
      </c>
      <c r="BU66">
        <f t="shared" si="25"/>
        <v>4.7953063527316365E-3</v>
      </c>
      <c r="BV66">
        <f t="shared" si="25"/>
        <v>4.7896863757381242E-3</v>
      </c>
      <c r="BW66">
        <f t="shared" si="25"/>
        <v>4.7871763519076122E-3</v>
      </c>
      <c r="BX66">
        <f t="shared" si="25"/>
        <v>4.7877762812400804E-3</v>
      </c>
      <c r="BY66">
        <f t="shared" si="25"/>
        <v>4.7914861637355418E-3</v>
      </c>
      <c r="BZ66">
        <f t="shared" si="25"/>
        <v>4.7983059993939921E-3</v>
      </c>
      <c r="CA66">
        <f t="shared" si="25"/>
        <v>4.8082357882154427E-3</v>
      </c>
      <c r="CB66">
        <f t="shared" si="25"/>
        <v>4.8212755301998735E-3</v>
      </c>
      <c r="CC66">
        <f t="shared" si="25"/>
        <v>4.8374252253473053E-3</v>
      </c>
      <c r="CD66">
        <f t="shared" si="25"/>
        <v>4.8566848736577174E-3</v>
      </c>
      <c r="CE66">
        <f t="shared" si="18"/>
        <v>4.8790544751311374E-3</v>
      </c>
      <c r="CF66">
        <f t="shared" si="18"/>
        <v>4.9045340297675377E-3</v>
      </c>
      <c r="CG66">
        <f t="shared" si="24"/>
        <v>4.9331235375669243E-3</v>
      </c>
      <c r="CH66">
        <f t="shared" si="24"/>
        <v>4.9648229985293137E-3</v>
      </c>
      <c r="CI66">
        <f t="shared" si="24"/>
        <v>4.9996324126546894E-3</v>
      </c>
      <c r="CJ66">
        <f t="shared" si="24"/>
        <v>5.0375517799430593E-3</v>
      </c>
      <c r="CK66">
        <f t="shared" si="24"/>
        <v>5.0785811003944163E-3</v>
      </c>
      <c r="CL66">
        <f t="shared" si="24"/>
        <v>5.1227203740087674E-3</v>
      </c>
      <c r="CM66">
        <f t="shared" si="24"/>
        <v>5.1699696007861057E-3</v>
      </c>
      <c r="CN66">
        <f t="shared" si="24"/>
        <v>5.2203287807264381E-3</v>
      </c>
      <c r="CO66">
        <f t="shared" si="24"/>
        <v>5.2737979138297655E-3</v>
      </c>
      <c r="CP66">
        <f t="shared" si="24"/>
        <v>5.3303770000960714E-3</v>
      </c>
      <c r="CQ66">
        <f t="shared" si="24"/>
        <v>5.3900660395253862E-3</v>
      </c>
      <c r="CR66">
        <f t="shared" si="24"/>
        <v>5.4528650321176812E-3</v>
      </c>
      <c r="CS66">
        <f t="shared" ref="CG66:CV77" si="28">$H$3+$H$4*CS$2+$H$5*CS$2*CS$2+$H$6*$S66+$H$7*$S66*$S66+$H$8*CS$2*$S66</f>
        <v>5.5187739778729704E-3</v>
      </c>
      <c r="CT66">
        <f t="shared" si="28"/>
        <v>5.5877928767912536E-3</v>
      </c>
      <c r="CU66">
        <f t="shared" si="28"/>
        <v>5.659921728872531E-3</v>
      </c>
      <c r="CV66">
        <f t="shared" si="28"/>
        <v>5.7351605341167886E-3</v>
      </c>
    </row>
    <row r="67" spans="19:100" x14ac:dyDescent="0.2">
      <c r="S67">
        <v>36.400000000000098</v>
      </c>
      <c r="T67">
        <f t="shared" si="26"/>
        <v>9.5569639787775468E-3</v>
      </c>
      <c r="U67">
        <f t="shared" si="26"/>
        <v>9.3864212535627583E-3</v>
      </c>
      <c r="V67">
        <f t="shared" si="26"/>
        <v>9.2189884815109639E-3</v>
      </c>
      <c r="W67">
        <f t="shared" si="26"/>
        <v>9.0546656626221637E-3</v>
      </c>
      <c r="X67">
        <f t="shared" si="26"/>
        <v>8.8934527968963575E-3</v>
      </c>
      <c r="Y67">
        <f t="shared" si="26"/>
        <v>8.7353498843335299E-3</v>
      </c>
      <c r="Z67">
        <f t="shared" si="26"/>
        <v>8.5803569249336981E-3</v>
      </c>
      <c r="AA67">
        <f t="shared" si="26"/>
        <v>8.4284739186968466E-3</v>
      </c>
      <c r="AB67">
        <f t="shared" si="26"/>
        <v>8.279700865623003E-3</v>
      </c>
      <c r="AC67">
        <f t="shared" si="26"/>
        <v>8.1340377657121536E-3</v>
      </c>
      <c r="AD67">
        <f t="shared" si="26"/>
        <v>7.9914846189642827E-3</v>
      </c>
      <c r="AE67">
        <f t="shared" si="26"/>
        <v>7.8520414253794076E-3</v>
      </c>
      <c r="AF67">
        <f t="shared" si="26"/>
        <v>7.7157081849575267E-3</v>
      </c>
      <c r="AG67">
        <f t="shared" si="26"/>
        <v>7.5824848976986398E-3</v>
      </c>
      <c r="AH67">
        <f t="shared" si="26"/>
        <v>7.4523715636027332E-3</v>
      </c>
      <c r="AI67">
        <f t="shared" si="26"/>
        <v>7.3253681826698268E-3</v>
      </c>
      <c r="AJ67">
        <f t="shared" si="19"/>
        <v>7.2014747548999085E-3</v>
      </c>
      <c r="AK67">
        <f t="shared" si="19"/>
        <v>7.0806912802929773E-3</v>
      </c>
      <c r="AL67">
        <f t="shared" si="19"/>
        <v>6.9630177588490463E-3</v>
      </c>
      <c r="AM67">
        <f t="shared" si="19"/>
        <v>6.8484541905681033E-3</v>
      </c>
      <c r="AN67">
        <f t="shared" si="19"/>
        <v>6.7370005754501475E-3</v>
      </c>
      <c r="AO67">
        <f t="shared" si="19"/>
        <v>6.6286569134951928E-3</v>
      </c>
      <c r="AP67">
        <f t="shared" si="19"/>
        <v>6.5234232047032244E-3</v>
      </c>
      <c r="AQ67">
        <f t="shared" si="19"/>
        <v>6.4212994490742432E-3</v>
      </c>
      <c r="AR67">
        <f t="shared" si="27"/>
        <v>6.3222856466082569E-3</v>
      </c>
      <c r="AS67">
        <f t="shared" si="27"/>
        <v>6.2263817973052579E-3</v>
      </c>
      <c r="AT67">
        <f t="shared" si="27"/>
        <v>6.1335879011652598E-3</v>
      </c>
      <c r="AU67">
        <f t="shared" si="27"/>
        <v>6.043903958188249E-3</v>
      </c>
      <c r="AV67">
        <f t="shared" si="27"/>
        <v>5.9573299683742245E-3</v>
      </c>
      <c r="AW67">
        <f t="shared" si="27"/>
        <v>5.8738659317231941E-3</v>
      </c>
      <c r="AX67">
        <f t="shared" si="27"/>
        <v>5.7935118482351586E-3</v>
      </c>
      <c r="AY67">
        <f t="shared" si="27"/>
        <v>5.7162677179101104E-3</v>
      </c>
      <c r="AZ67">
        <f t="shared" si="27"/>
        <v>5.6421335407480563E-3</v>
      </c>
      <c r="BA67">
        <f t="shared" si="27"/>
        <v>5.5711093167489885E-3</v>
      </c>
      <c r="BB67">
        <f t="shared" si="27"/>
        <v>5.5031950459129156E-3</v>
      </c>
      <c r="BC67">
        <f t="shared" si="27"/>
        <v>5.438390728239836E-3</v>
      </c>
      <c r="BD67">
        <f t="shared" si="27"/>
        <v>5.3766963637297445E-3</v>
      </c>
      <c r="BE67">
        <f t="shared" si="27"/>
        <v>5.3181119523826471E-3</v>
      </c>
      <c r="BF67">
        <f t="shared" si="27"/>
        <v>5.2626374941985438E-3</v>
      </c>
      <c r="BG67">
        <f t="shared" si="27"/>
        <v>5.2102729891774268E-3</v>
      </c>
      <c r="BH67">
        <f t="shared" si="22"/>
        <v>5.1610184373192978E-3</v>
      </c>
      <c r="BI67">
        <f t="shared" si="22"/>
        <v>5.1148738386241621E-3</v>
      </c>
      <c r="BJ67">
        <f t="shared" si="22"/>
        <v>5.0718391930920214E-3</v>
      </c>
      <c r="BK67">
        <f t="shared" si="22"/>
        <v>5.0319145007228748E-3</v>
      </c>
      <c r="BL67">
        <f t="shared" si="22"/>
        <v>4.9950997615167145E-3</v>
      </c>
      <c r="BM67">
        <f t="shared" si="22"/>
        <v>4.9613949754735492E-3</v>
      </c>
      <c r="BN67">
        <f t="shared" si="22"/>
        <v>4.9308001425933702E-3</v>
      </c>
      <c r="BO67">
        <f t="shared" si="25"/>
        <v>4.9033152628761862E-3</v>
      </c>
      <c r="BP67">
        <f t="shared" si="25"/>
        <v>4.8789403363219963E-3</v>
      </c>
      <c r="BQ67">
        <f t="shared" si="25"/>
        <v>4.8576753629307936E-3</v>
      </c>
      <c r="BR67">
        <f t="shared" si="25"/>
        <v>4.8395203427025781E-3</v>
      </c>
      <c r="BS67">
        <f t="shared" si="25"/>
        <v>4.8244752756373627E-3</v>
      </c>
      <c r="BT67">
        <f t="shared" si="25"/>
        <v>4.8125401617351354E-3</v>
      </c>
      <c r="BU67">
        <f t="shared" si="25"/>
        <v>4.8037150009958944E-3</v>
      </c>
      <c r="BV67">
        <f t="shared" si="25"/>
        <v>4.7979997934196484E-3</v>
      </c>
      <c r="BW67">
        <f t="shared" si="25"/>
        <v>4.7953945390064034E-3</v>
      </c>
      <c r="BX67">
        <f t="shared" si="25"/>
        <v>4.7958992377561379E-3</v>
      </c>
      <c r="BY67">
        <f t="shared" si="25"/>
        <v>4.7995138896688664E-3</v>
      </c>
      <c r="BZ67">
        <f t="shared" si="25"/>
        <v>4.806238494744583E-3</v>
      </c>
      <c r="CA67">
        <f t="shared" si="25"/>
        <v>4.8160730529833006E-3</v>
      </c>
      <c r="CB67">
        <f t="shared" si="25"/>
        <v>4.8290175643849985E-3</v>
      </c>
      <c r="CC67">
        <f t="shared" si="25"/>
        <v>4.8450720289496974E-3</v>
      </c>
      <c r="CD67">
        <f t="shared" si="25"/>
        <v>4.8642364466773766E-3</v>
      </c>
      <c r="CE67">
        <f t="shared" si="18"/>
        <v>4.8865108175680629E-3</v>
      </c>
      <c r="CF67">
        <f t="shared" si="18"/>
        <v>4.9118951416217303E-3</v>
      </c>
      <c r="CG67">
        <f t="shared" si="28"/>
        <v>4.940389418838384E-3</v>
      </c>
      <c r="CH67">
        <f t="shared" si="28"/>
        <v>4.9719936492180396E-3</v>
      </c>
      <c r="CI67">
        <f t="shared" si="28"/>
        <v>5.0067078327606816E-3</v>
      </c>
      <c r="CJ67">
        <f t="shared" si="28"/>
        <v>5.0445319694663185E-3</v>
      </c>
      <c r="CK67">
        <f t="shared" si="28"/>
        <v>5.0854660593349418E-3</v>
      </c>
      <c r="CL67">
        <f t="shared" si="28"/>
        <v>5.12951010236656E-3</v>
      </c>
      <c r="CM67">
        <f t="shared" si="28"/>
        <v>5.1766640985611654E-3</v>
      </c>
      <c r="CN67">
        <f t="shared" si="28"/>
        <v>5.2269280479187649E-3</v>
      </c>
      <c r="CO67">
        <f t="shared" si="28"/>
        <v>5.2803019504393586E-3</v>
      </c>
      <c r="CP67">
        <f t="shared" si="28"/>
        <v>5.3367858061229324E-3</v>
      </c>
      <c r="CQ67">
        <f t="shared" si="28"/>
        <v>5.3963796149695126E-3</v>
      </c>
      <c r="CR67">
        <f t="shared" si="28"/>
        <v>5.4590833769790747E-3</v>
      </c>
      <c r="CS67">
        <f t="shared" si="28"/>
        <v>5.5248970921516309E-3</v>
      </c>
      <c r="CT67">
        <f t="shared" si="28"/>
        <v>5.5938207604871813E-3</v>
      </c>
      <c r="CU67">
        <f t="shared" si="28"/>
        <v>5.6658543819857257E-3</v>
      </c>
      <c r="CV67">
        <f t="shared" si="28"/>
        <v>5.7409979566472496E-3</v>
      </c>
    </row>
    <row r="68" spans="19:100" x14ac:dyDescent="0.2">
      <c r="S68">
        <v>36.500000000000099</v>
      </c>
      <c r="T68">
        <f t="shared" si="26"/>
        <v>9.571320301653476E-3</v>
      </c>
      <c r="U68">
        <f t="shared" si="26"/>
        <v>9.4006823458559555E-3</v>
      </c>
      <c r="V68">
        <f t="shared" si="26"/>
        <v>9.2331543432214273E-3</v>
      </c>
      <c r="W68">
        <f t="shared" si="26"/>
        <v>9.0687362937498933E-3</v>
      </c>
      <c r="X68">
        <f t="shared" si="26"/>
        <v>8.9074281974413534E-3</v>
      </c>
      <c r="Y68">
        <f t="shared" si="26"/>
        <v>8.7492300542957938E-3</v>
      </c>
      <c r="Z68">
        <f t="shared" si="26"/>
        <v>8.5941418643132282E-3</v>
      </c>
      <c r="AA68">
        <f t="shared" si="26"/>
        <v>8.4421636274936429E-3</v>
      </c>
      <c r="AB68">
        <f t="shared" si="26"/>
        <v>8.2932953438370673E-3</v>
      </c>
      <c r="AC68">
        <f t="shared" si="26"/>
        <v>8.1475370133434841E-3</v>
      </c>
      <c r="AD68">
        <f t="shared" si="26"/>
        <v>8.0048886360128812E-3</v>
      </c>
      <c r="AE68">
        <f t="shared" si="26"/>
        <v>7.8653502118452723E-3</v>
      </c>
      <c r="AF68">
        <f t="shared" si="26"/>
        <v>7.7289217408406576E-3</v>
      </c>
      <c r="AG68">
        <f t="shared" si="26"/>
        <v>7.595603222999037E-3</v>
      </c>
      <c r="AH68">
        <f t="shared" si="26"/>
        <v>7.4653946583203975E-3</v>
      </c>
      <c r="AI68">
        <f t="shared" si="26"/>
        <v>7.3382960468047582E-3</v>
      </c>
      <c r="AJ68">
        <f t="shared" si="19"/>
        <v>7.214307388452107E-3</v>
      </c>
      <c r="AK68">
        <f t="shared" si="19"/>
        <v>7.093428683262442E-3</v>
      </c>
      <c r="AL68">
        <f t="shared" si="19"/>
        <v>6.9756599312357781E-3</v>
      </c>
      <c r="AM68">
        <f t="shared" si="19"/>
        <v>6.8610011323721014E-3</v>
      </c>
      <c r="AN68">
        <f t="shared" si="19"/>
        <v>6.7494522866714127E-3</v>
      </c>
      <c r="AO68">
        <f t="shared" si="19"/>
        <v>6.6410133941337242E-3</v>
      </c>
      <c r="AP68">
        <f t="shared" si="19"/>
        <v>6.5356844547590229E-3</v>
      </c>
      <c r="AQ68">
        <f t="shared" si="19"/>
        <v>6.4334654685473088E-3</v>
      </c>
      <c r="AR68">
        <f t="shared" si="27"/>
        <v>6.3343564354985896E-3</v>
      </c>
      <c r="AS68">
        <f t="shared" si="27"/>
        <v>6.2383573556128568E-3</v>
      </c>
      <c r="AT68">
        <f t="shared" si="27"/>
        <v>6.145468228890125E-3</v>
      </c>
      <c r="AU68">
        <f t="shared" si="27"/>
        <v>6.0556890553303813E-3</v>
      </c>
      <c r="AV68">
        <f t="shared" si="27"/>
        <v>5.9690198349336239E-3</v>
      </c>
      <c r="AW68">
        <f t="shared" si="27"/>
        <v>5.8854605676998606E-3</v>
      </c>
      <c r="AX68">
        <f t="shared" si="27"/>
        <v>5.8050112536290914E-3</v>
      </c>
      <c r="AY68">
        <f t="shared" si="27"/>
        <v>5.7276718927213102E-3</v>
      </c>
      <c r="AZ68">
        <f t="shared" si="27"/>
        <v>5.6534424849765223E-3</v>
      </c>
      <c r="BA68">
        <f t="shared" si="27"/>
        <v>5.5823230303947216E-3</v>
      </c>
      <c r="BB68">
        <f t="shared" si="27"/>
        <v>5.514313528975915E-3</v>
      </c>
      <c r="BC68">
        <f t="shared" si="27"/>
        <v>5.4494139807201034E-3</v>
      </c>
      <c r="BD68">
        <f t="shared" si="27"/>
        <v>5.3876243856272781E-3</v>
      </c>
      <c r="BE68">
        <f t="shared" si="27"/>
        <v>5.3289447436974478E-3</v>
      </c>
      <c r="BF68">
        <f t="shared" si="27"/>
        <v>5.2733750549306107E-3</v>
      </c>
      <c r="BG68">
        <f t="shared" si="27"/>
        <v>5.2209153193267608E-3</v>
      </c>
      <c r="BH68">
        <f t="shared" si="22"/>
        <v>5.1715655368858981E-3</v>
      </c>
      <c r="BI68">
        <f t="shared" si="22"/>
        <v>5.1253257076080295E-3</v>
      </c>
      <c r="BJ68">
        <f t="shared" si="22"/>
        <v>5.0821958314931559E-3</v>
      </c>
      <c r="BK68">
        <f t="shared" si="22"/>
        <v>5.0421759085412755E-3</v>
      </c>
      <c r="BL68">
        <f t="shared" si="22"/>
        <v>5.0052659387523823E-3</v>
      </c>
      <c r="BM68">
        <f t="shared" si="22"/>
        <v>4.9714659221264841E-3</v>
      </c>
      <c r="BN68">
        <f t="shared" si="22"/>
        <v>4.9407758586635722E-3</v>
      </c>
      <c r="BO68">
        <f t="shared" si="25"/>
        <v>4.9131957483636544E-3</v>
      </c>
      <c r="BP68">
        <f t="shared" si="25"/>
        <v>4.8887255912267308E-3</v>
      </c>
      <c r="BQ68">
        <f t="shared" si="25"/>
        <v>4.8673653872527952E-3</v>
      </c>
      <c r="BR68">
        <f t="shared" si="25"/>
        <v>4.8491151364418467E-3</v>
      </c>
      <c r="BS68">
        <f t="shared" si="25"/>
        <v>4.8339748387938985E-3</v>
      </c>
      <c r="BT68">
        <f t="shared" si="25"/>
        <v>4.8219444943089374E-3</v>
      </c>
      <c r="BU68">
        <f t="shared" si="25"/>
        <v>4.8130241029869635E-3</v>
      </c>
      <c r="BV68">
        <f t="shared" si="25"/>
        <v>4.8072136648279837E-3</v>
      </c>
      <c r="BW68">
        <f t="shared" si="25"/>
        <v>4.804513179832005E-3</v>
      </c>
      <c r="BX68">
        <f t="shared" si="25"/>
        <v>4.8049226479990065E-3</v>
      </c>
      <c r="BY68">
        <f t="shared" si="25"/>
        <v>4.8084420693290031E-3</v>
      </c>
      <c r="BZ68">
        <f t="shared" si="25"/>
        <v>4.8150714438219859E-3</v>
      </c>
      <c r="CA68">
        <f t="shared" si="25"/>
        <v>4.8248107714779706E-3</v>
      </c>
      <c r="CB68">
        <f t="shared" si="25"/>
        <v>4.8376600522969347E-3</v>
      </c>
      <c r="CC68">
        <f t="shared" si="25"/>
        <v>4.8536192862788999E-3</v>
      </c>
      <c r="CD68">
        <f t="shared" si="25"/>
        <v>4.8726884734238462E-3</v>
      </c>
      <c r="CE68">
        <f t="shared" si="18"/>
        <v>4.8948676137317996E-3</v>
      </c>
      <c r="CF68">
        <f t="shared" si="18"/>
        <v>4.9201567072027341E-3</v>
      </c>
      <c r="CG68">
        <f t="shared" si="28"/>
        <v>4.948555753836654E-3</v>
      </c>
      <c r="CH68">
        <f t="shared" si="28"/>
        <v>4.9800647536335767E-3</v>
      </c>
      <c r="CI68">
        <f t="shared" si="28"/>
        <v>5.0146837065934858E-3</v>
      </c>
      <c r="CJ68">
        <f t="shared" si="28"/>
        <v>5.052412612716389E-3</v>
      </c>
      <c r="CK68">
        <f t="shared" si="28"/>
        <v>5.0932514720022793E-3</v>
      </c>
      <c r="CL68">
        <f t="shared" si="28"/>
        <v>5.1372002844511638E-3</v>
      </c>
      <c r="CM68">
        <f t="shared" si="28"/>
        <v>5.1842590500630363E-3</v>
      </c>
      <c r="CN68">
        <f t="shared" si="28"/>
        <v>5.2344277688379029E-3</v>
      </c>
      <c r="CO68">
        <f t="shared" si="28"/>
        <v>5.2877064407757628E-3</v>
      </c>
      <c r="CP68">
        <f t="shared" si="28"/>
        <v>5.3440950658766029E-3</v>
      </c>
      <c r="CQ68">
        <f t="shared" si="28"/>
        <v>5.403593644140451E-3</v>
      </c>
      <c r="CR68">
        <f t="shared" si="28"/>
        <v>5.4662021755672793E-3</v>
      </c>
      <c r="CS68">
        <f t="shared" si="28"/>
        <v>5.5319206601571018E-3</v>
      </c>
      <c r="CT68">
        <f t="shared" si="28"/>
        <v>5.6007490979099192E-3</v>
      </c>
      <c r="CU68">
        <f t="shared" si="28"/>
        <v>5.6726874888257308E-3</v>
      </c>
      <c r="CV68">
        <f t="shared" si="28"/>
        <v>5.7477358329045217E-3</v>
      </c>
    </row>
    <row r="69" spans="19:100" x14ac:dyDescent="0.2">
      <c r="S69">
        <v>36.600000000000101</v>
      </c>
      <c r="T69">
        <f t="shared" si="26"/>
        <v>9.586577078256232E-3</v>
      </c>
      <c r="U69">
        <f t="shared" si="26"/>
        <v>9.415843891875976E-3</v>
      </c>
      <c r="V69">
        <f t="shared" si="26"/>
        <v>9.2482206586587158E-3</v>
      </c>
      <c r="W69">
        <f t="shared" si="26"/>
        <v>9.083707378604448E-3</v>
      </c>
      <c r="X69">
        <f t="shared" si="26"/>
        <v>8.9223040517131744E-3</v>
      </c>
      <c r="Y69">
        <f t="shared" si="26"/>
        <v>8.7640106779848827E-3</v>
      </c>
      <c r="Z69">
        <f t="shared" si="26"/>
        <v>8.6088272574195834E-3</v>
      </c>
      <c r="AA69">
        <f t="shared" si="26"/>
        <v>8.456753790017266E-3</v>
      </c>
      <c r="AB69">
        <f t="shared" si="26"/>
        <v>8.307790275777955E-3</v>
      </c>
      <c r="AC69">
        <f t="shared" si="26"/>
        <v>8.1619367147016397E-3</v>
      </c>
      <c r="AD69">
        <f t="shared" si="26"/>
        <v>8.019193106788303E-3</v>
      </c>
      <c r="AE69">
        <f t="shared" si="26"/>
        <v>7.8795594520379621E-3</v>
      </c>
      <c r="AF69">
        <f t="shared" si="26"/>
        <v>7.7430357504506137E-3</v>
      </c>
      <c r="AG69">
        <f t="shared" si="26"/>
        <v>7.6096220020262601E-3</v>
      </c>
      <c r="AH69">
        <f t="shared" si="26"/>
        <v>7.4793182067648869E-3</v>
      </c>
      <c r="AI69">
        <f t="shared" si="26"/>
        <v>7.3521243646665147E-3</v>
      </c>
      <c r="AJ69">
        <f t="shared" si="19"/>
        <v>7.2280404757311296E-3</v>
      </c>
      <c r="AK69">
        <f t="shared" si="19"/>
        <v>7.1070665399587318E-3</v>
      </c>
      <c r="AL69">
        <f t="shared" si="19"/>
        <v>6.989202557349335E-3</v>
      </c>
      <c r="AM69">
        <f t="shared" si="19"/>
        <v>6.8744485279029245E-3</v>
      </c>
      <c r="AN69">
        <f t="shared" si="19"/>
        <v>6.7628044516195029E-3</v>
      </c>
      <c r="AO69">
        <f t="shared" si="19"/>
        <v>6.6542703284990807E-3</v>
      </c>
      <c r="AP69">
        <f t="shared" si="19"/>
        <v>6.5488461585416465E-3</v>
      </c>
      <c r="AQ69">
        <f t="shared" si="19"/>
        <v>6.4465319417471995E-3</v>
      </c>
      <c r="AR69">
        <f t="shared" si="27"/>
        <v>6.3473276781157465E-3</v>
      </c>
      <c r="AS69">
        <f t="shared" si="27"/>
        <v>6.2512333676472808E-3</v>
      </c>
      <c r="AT69">
        <f t="shared" si="27"/>
        <v>6.1582490103418161E-3</v>
      </c>
      <c r="AU69">
        <f t="shared" si="27"/>
        <v>6.0683746061993386E-3</v>
      </c>
      <c r="AV69">
        <f t="shared" si="27"/>
        <v>5.9816101552198483E-3</v>
      </c>
      <c r="AW69">
        <f t="shared" si="27"/>
        <v>5.8979556574033521E-3</v>
      </c>
      <c r="AX69">
        <f t="shared" si="27"/>
        <v>5.8174111127498492E-3</v>
      </c>
      <c r="AY69">
        <f t="shared" si="27"/>
        <v>5.7399765212593351E-3</v>
      </c>
      <c r="AZ69">
        <f t="shared" si="27"/>
        <v>5.6656518829318143E-3</v>
      </c>
      <c r="BA69">
        <f t="shared" si="27"/>
        <v>5.5944371977672798E-3</v>
      </c>
      <c r="BB69">
        <f t="shared" si="27"/>
        <v>5.5263324657657403E-3</v>
      </c>
      <c r="BC69">
        <f t="shared" si="27"/>
        <v>5.4613376869271949E-3</v>
      </c>
      <c r="BD69">
        <f t="shared" si="27"/>
        <v>5.3994528612516367E-3</v>
      </c>
      <c r="BE69">
        <f t="shared" si="27"/>
        <v>5.3406779887390727E-3</v>
      </c>
      <c r="BF69">
        <f t="shared" si="27"/>
        <v>5.2850130693895027E-3</v>
      </c>
      <c r="BG69">
        <f t="shared" si="27"/>
        <v>5.2324581032029199E-3</v>
      </c>
      <c r="BH69">
        <f t="shared" si="22"/>
        <v>5.1830130901793243E-3</v>
      </c>
      <c r="BI69">
        <f t="shared" si="22"/>
        <v>5.1366780303187228E-3</v>
      </c>
      <c r="BJ69">
        <f t="shared" si="22"/>
        <v>5.0934529236211154E-3</v>
      </c>
      <c r="BK69">
        <f t="shared" si="22"/>
        <v>5.0533377700865013E-3</v>
      </c>
      <c r="BL69">
        <f t="shared" si="22"/>
        <v>5.0163325697148752E-3</v>
      </c>
      <c r="BM69">
        <f t="shared" si="22"/>
        <v>4.9824373225062432E-3</v>
      </c>
      <c r="BN69">
        <f t="shared" si="22"/>
        <v>4.9516520284605984E-3</v>
      </c>
      <c r="BO69">
        <f t="shared" si="25"/>
        <v>4.9239766875779478E-3</v>
      </c>
      <c r="BP69">
        <f t="shared" si="25"/>
        <v>4.8994112998582912E-3</v>
      </c>
      <c r="BQ69">
        <f t="shared" si="25"/>
        <v>4.8779558653016218E-3</v>
      </c>
      <c r="BR69">
        <f t="shared" si="25"/>
        <v>4.8596103839079396E-3</v>
      </c>
      <c r="BS69">
        <f t="shared" si="25"/>
        <v>4.8443748556772585E-3</v>
      </c>
      <c r="BT69">
        <f t="shared" si="25"/>
        <v>4.8322492806095645E-3</v>
      </c>
      <c r="BU69">
        <f t="shared" si="25"/>
        <v>4.8232336587048577E-3</v>
      </c>
      <c r="BV69">
        <f t="shared" si="25"/>
        <v>4.8173279899631442E-3</v>
      </c>
      <c r="BW69">
        <f t="shared" si="25"/>
        <v>4.8145322743844334E-3</v>
      </c>
      <c r="BX69">
        <f t="shared" si="25"/>
        <v>4.8148465119687012E-3</v>
      </c>
      <c r="BY69">
        <f t="shared" si="25"/>
        <v>4.8182707027159639E-3</v>
      </c>
      <c r="BZ69">
        <f t="shared" si="25"/>
        <v>4.8248048466262138E-3</v>
      </c>
      <c r="CA69">
        <f t="shared" si="25"/>
        <v>4.8344489436994657E-3</v>
      </c>
      <c r="CB69">
        <f t="shared" si="25"/>
        <v>4.847202993935696E-3</v>
      </c>
      <c r="CC69">
        <f t="shared" si="25"/>
        <v>4.8630669973349283E-3</v>
      </c>
      <c r="CD69">
        <f t="shared" si="25"/>
        <v>4.8820409538971408E-3</v>
      </c>
      <c r="CE69">
        <f t="shared" si="18"/>
        <v>4.9041248636223613E-3</v>
      </c>
      <c r="CF69">
        <f t="shared" si="18"/>
        <v>4.929318726510562E-3</v>
      </c>
      <c r="CG69">
        <f t="shared" si="28"/>
        <v>4.9576225425617491E-3</v>
      </c>
      <c r="CH69">
        <f t="shared" si="28"/>
        <v>4.9890363117759389E-3</v>
      </c>
      <c r="CI69">
        <f t="shared" si="28"/>
        <v>5.0235600341531142E-3</v>
      </c>
      <c r="CJ69">
        <f t="shared" si="28"/>
        <v>5.0611937096932845E-3</v>
      </c>
      <c r="CK69">
        <f t="shared" si="28"/>
        <v>5.1019373383964419E-3</v>
      </c>
      <c r="CL69">
        <f t="shared" si="28"/>
        <v>5.1457909202625935E-3</v>
      </c>
      <c r="CM69">
        <f t="shared" si="28"/>
        <v>5.1927544552917322E-3</v>
      </c>
      <c r="CN69">
        <f t="shared" si="28"/>
        <v>5.2428279434838659E-3</v>
      </c>
      <c r="CO69">
        <f t="shared" si="28"/>
        <v>5.296011384838992E-3</v>
      </c>
      <c r="CP69">
        <f t="shared" si="28"/>
        <v>5.3523047793571001E-3</v>
      </c>
      <c r="CQ69">
        <f t="shared" si="28"/>
        <v>5.4117081270382145E-3</v>
      </c>
      <c r="CR69">
        <f t="shared" si="28"/>
        <v>5.474221427882309E-3</v>
      </c>
      <c r="CS69">
        <f t="shared" si="28"/>
        <v>5.5398446818893995E-3</v>
      </c>
      <c r="CT69">
        <f t="shared" si="28"/>
        <v>5.6085778890594823E-3</v>
      </c>
      <c r="CU69">
        <f t="shared" si="28"/>
        <v>5.680421049392561E-3</v>
      </c>
      <c r="CV69">
        <f t="shared" si="28"/>
        <v>5.7553741628886181E-3</v>
      </c>
    </row>
    <row r="70" spans="19:100" x14ac:dyDescent="0.2">
      <c r="S70">
        <v>36.700000000000102</v>
      </c>
      <c r="T70">
        <f t="shared" si="26"/>
        <v>9.6027343085857905E-3</v>
      </c>
      <c r="U70">
        <f t="shared" si="26"/>
        <v>9.4319058916228007E-3</v>
      </c>
      <c r="V70">
        <f t="shared" si="26"/>
        <v>9.2641874278228068E-3</v>
      </c>
      <c r="W70">
        <f t="shared" si="26"/>
        <v>9.099578917185807E-3</v>
      </c>
      <c r="X70">
        <f t="shared" si="26"/>
        <v>8.9380803597118013E-3</v>
      </c>
      <c r="Y70">
        <f t="shared" si="26"/>
        <v>8.7796917554007758E-3</v>
      </c>
      <c r="Z70">
        <f t="shared" si="26"/>
        <v>8.6244131042527428E-3</v>
      </c>
      <c r="AA70">
        <f t="shared" si="26"/>
        <v>8.4722444062676917E-3</v>
      </c>
      <c r="AB70">
        <f t="shared" si="26"/>
        <v>8.3231856614456486E-3</v>
      </c>
      <c r="AC70">
        <f t="shared" si="26"/>
        <v>8.1772368697865996E-3</v>
      </c>
      <c r="AD70">
        <f t="shared" si="26"/>
        <v>8.0343980312905291E-3</v>
      </c>
      <c r="AE70">
        <f t="shared" si="26"/>
        <v>7.8946691459574544E-3</v>
      </c>
      <c r="AF70">
        <f t="shared" si="26"/>
        <v>7.7580502137873739E-3</v>
      </c>
      <c r="AG70">
        <f t="shared" si="26"/>
        <v>7.6245412347802875E-3</v>
      </c>
      <c r="AH70">
        <f t="shared" si="26"/>
        <v>7.4941422089361805E-3</v>
      </c>
      <c r="AI70">
        <f t="shared" si="26"/>
        <v>7.3668531362550754E-3</v>
      </c>
      <c r="AJ70">
        <f t="shared" si="19"/>
        <v>7.2426740167369566E-3</v>
      </c>
      <c r="AK70">
        <f t="shared" si="19"/>
        <v>7.1216048503818258E-3</v>
      </c>
      <c r="AL70">
        <f t="shared" si="19"/>
        <v>7.0036456371896953E-3</v>
      </c>
      <c r="AM70">
        <f t="shared" si="19"/>
        <v>6.8887963771605528E-3</v>
      </c>
      <c r="AN70">
        <f t="shared" si="19"/>
        <v>6.7770570702943966E-3</v>
      </c>
      <c r="AO70">
        <f t="shared" si="19"/>
        <v>6.6684277165912423E-3</v>
      </c>
      <c r="AP70">
        <f t="shared" si="19"/>
        <v>6.5629083160510752E-3</v>
      </c>
      <c r="AQ70">
        <f t="shared" si="19"/>
        <v>6.4604988686738944E-3</v>
      </c>
      <c r="AR70">
        <f t="shared" si="27"/>
        <v>6.3611993744597077E-3</v>
      </c>
      <c r="AS70">
        <f t="shared" si="27"/>
        <v>6.2650098334085091E-3</v>
      </c>
      <c r="AT70">
        <f t="shared" si="27"/>
        <v>6.1719302455203115E-3</v>
      </c>
      <c r="AU70">
        <f t="shared" si="27"/>
        <v>6.0819606107951002E-3</v>
      </c>
      <c r="AV70">
        <f t="shared" si="27"/>
        <v>5.9951009292328761E-3</v>
      </c>
      <c r="AW70">
        <f t="shared" si="27"/>
        <v>5.911351200833647E-3</v>
      </c>
      <c r="AX70">
        <f t="shared" si="27"/>
        <v>5.8307114255974121E-3</v>
      </c>
      <c r="AY70">
        <f t="shared" si="27"/>
        <v>5.7531816035241642E-3</v>
      </c>
      <c r="AZ70">
        <f t="shared" si="27"/>
        <v>5.6787617346139097E-3</v>
      </c>
      <c r="BA70">
        <f t="shared" si="27"/>
        <v>5.6074518188666423E-3</v>
      </c>
      <c r="BB70">
        <f t="shared" si="27"/>
        <v>5.5392518562823699E-3</v>
      </c>
      <c r="BC70">
        <f t="shared" si="27"/>
        <v>5.4741618468610916E-3</v>
      </c>
      <c r="BD70">
        <f t="shared" si="27"/>
        <v>5.4121817906027997E-3</v>
      </c>
      <c r="BE70">
        <f t="shared" si="27"/>
        <v>5.3533116875075018E-3</v>
      </c>
      <c r="BF70">
        <f t="shared" si="27"/>
        <v>5.2975515375751989E-3</v>
      </c>
      <c r="BG70">
        <f t="shared" si="27"/>
        <v>5.2449013408058832E-3</v>
      </c>
      <c r="BH70">
        <f t="shared" si="22"/>
        <v>5.1953610971995539E-3</v>
      </c>
      <c r="BI70">
        <f t="shared" si="22"/>
        <v>5.1489308067562195E-3</v>
      </c>
      <c r="BJ70">
        <f t="shared" si="22"/>
        <v>5.1056104694758783E-3</v>
      </c>
      <c r="BK70">
        <f t="shared" si="22"/>
        <v>5.0654000853585322E-3</v>
      </c>
      <c r="BL70">
        <f t="shared" si="22"/>
        <v>5.0282996544041723E-3</v>
      </c>
      <c r="BM70">
        <f t="shared" si="22"/>
        <v>4.9943091766128074E-3</v>
      </c>
      <c r="BN70">
        <f t="shared" si="22"/>
        <v>4.9634286519844289E-3</v>
      </c>
      <c r="BO70">
        <f t="shared" si="25"/>
        <v>4.9356580805190453E-3</v>
      </c>
      <c r="BP70">
        <f t="shared" si="25"/>
        <v>4.9109974622166559E-3</v>
      </c>
      <c r="BQ70">
        <f t="shared" si="25"/>
        <v>4.8894467970772536E-3</v>
      </c>
      <c r="BR70">
        <f t="shared" si="25"/>
        <v>4.8710060851008376E-3</v>
      </c>
      <c r="BS70">
        <f t="shared" si="25"/>
        <v>4.8556753262874227E-3</v>
      </c>
      <c r="BT70">
        <f t="shared" si="25"/>
        <v>4.8434545206369958E-3</v>
      </c>
      <c r="BU70">
        <f t="shared" si="25"/>
        <v>4.8343436681495553E-3</v>
      </c>
      <c r="BV70">
        <f t="shared" si="25"/>
        <v>4.8283427688251097E-3</v>
      </c>
      <c r="BW70">
        <f t="shared" si="25"/>
        <v>4.8254518226636643E-3</v>
      </c>
      <c r="BX70">
        <f t="shared" si="25"/>
        <v>4.8256708296652E-3</v>
      </c>
      <c r="BY70">
        <f t="shared" si="25"/>
        <v>4.828999789829729E-3</v>
      </c>
      <c r="BZ70">
        <f t="shared" si="25"/>
        <v>4.8354387031572452E-3</v>
      </c>
      <c r="CA70">
        <f t="shared" si="25"/>
        <v>4.8449875696477641E-3</v>
      </c>
      <c r="CB70">
        <f t="shared" si="25"/>
        <v>4.8576463893012616E-3</v>
      </c>
      <c r="CC70">
        <f t="shared" si="25"/>
        <v>4.8734151621177609E-3</v>
      </c>
      <c r="CD70">
        <f t="shared" si="25"/>
        <v>4.8922938880972405E-3</v>
      </c>
      <c r="CE70">
        <f t="shared" si="18"/>
        <v>4.9142825672397273E-3</v>
      </c>
      <c r="CF70">
        <f t="shared" si="18"/>
        <v>4.9393811995451942E-3</v>
      </c>
      <c r="CG70">
        <f t="shared" si="28"/>
        <v>4.9675897850136493E-3</v>
      </c>
      <c r="CH70">
        <f t="shared" si="28"/>
        <v>4.9989083236451045E-3</v>
      </c>
      <c r="CI70">
        <f t="shared" si="28"/>
        <v>5.0333368154395468E-3</v>
      </c>
      <c r="CJ70">
        <f t="shared" si="28"/>
        <v>5.0708752603969842E-3</v>
      </c>
      <c r="CK70">
        <f t="shared" si="28"/>
        <v>5.1115236585174088E-3</v>
      </c>
      <c r="CL70">
        <f t="shared" si="28"/>
        <v>5.1552820098008274E-3</v>
      </c>
      <c r="CM70">
        <f t="shared" si="28"/>
        <v>5.2021503142472324E-3</v>
      </c>
      <c r="CN70">
        <f t="shared" si="28"/>
        <v>5.2521285718566324E-3</v>
      </c>
      <c r="CO70">
        <f t="shared" si="28"/>
        <v>5.3052167826290256E-3</v>
      </c>
      <c r="CP70">
        <f t="shared" si="28"/>
        <v>5.3614149465643999E-3</v>
      </c>
      <c r="CQ70">
        <f t="shared" si="28"/>
        <v>5.4207230636627813E-3</v>
      </c>
      <c r="CR70">
        <f t="shared" si="28"/>
        <v>5.483141133924143E-3</v>
      </c>
      <c r="CS70">
        <f t="shared" si="28"/>
        <v>5.5486691573484997E-3</v>
      </c>
      <c r="CT70">
        <f t="shared" si="28"/>
        <v>5.6173071339358505E-3</v>
      </c>
      <c r="CU70">
        <f t="shared" si="28"/>
        <v>5.6890550636861954E-3</v>
      </c>
      <c r="CV70">
        <f t="shared" si="28"/>
        <v>5.7639129465995196E-3</v>
      </c>
    </row>
    <row r="71" spans="19:100" x14ac:dyDescent="0.2">
      <c r="S71">
        <v>36.800000000000097</v>
      </c>
      <c r="T71">
        <f t="shared" si="26"/>
        <v>9.619791992642188E-3</v>
      </c>
      <c r="U71">
        <f t="shared" si="26"/>
        <v>9.4488683450964662E-3</v>
      </c>
      <c r="V71">
        <f t="shared" si="26"/>
        <v>9.2810546507137385E-3</v>
      </c>
      <c r="W71">
        <f t="shared" si="26"/>
        <v>9.1163509094940049E-3</v>
      </c>
      <c r="X71">
        <f t="shared" si="26"/>
        <v>8.9547571214372654E-3</v>
      </c>
      <c r="Y71">
        <f t="shared" si="26"/>
        <v>8.7962732865435062E-3</v>
      </c>
      <c r="Z71">
        <f t="shared" si="26"/>
        <v>8.6408994048127411E-3</v>
      </c>
      <c r="AA71">
        <f t="shared" si="26"/>
        <v>8.488635476244958E-3</v>
      </c>
      <c r="AB71">
        <f t="shared" si="26"/>
        <v>8.3394815008401811E-3</v>
      </c>
      <c r="AC71">
        <f t="shared" si="26"/>
        <v>8.1934374785983984E-3</v>
      </c>
      <c r="AD71">
        <f t="shared" si="26"/>
        <v>8.0505034095195958E-3</v>
      </c>
      <c r="AE71">
        <f t="shared" si="26"/>
        <v>7.9106792936037874E-3</v>
      </c>
      <c r="AF71">
        <f t="shared" si="26"/>
        <v>7.7739651308509732E-3</v>
      </c>
      <c r="AG71">
        <f t="shared" si="26"/>
        <v>7.640360921261153E-3</v>
      </c>
      <c r="AH71">
        <f t="shared" si="26"/>
        <v>7.5098666648343131E-3</v>
      </c>
      <c r="AI71">
        <f t="shared" si="26"/>
        <v>7.3824823615704742E-3</v>
      </c>
      <c r="AJ71">
        <f t="shared" si="19"/>
        <v>7.2582080114696234E-3</v>
      </c>
      <c r="AK71">
        <f t="shared" si="19"/>
        <v>7.1370436145317588E-3</v>
      </c>
      <c r="AL71">
        <f t="shared" si="19"/>
        <v>7.0189891707568954E-3</v>
      </c>
      <c r="AM71">
        <f t="shared" si="19"/>
        <v>6.9040446801450191E-3</v>
      </c>
      <c r="AN71">
        <f t="shared" si="19"/>
        <v>6.7922101426961309E-3</v>
      </c>
      <c r="AO71">
        <f t="shared" si="19"/>
        <v>6.6834855584102428E-3</v>
      </c>
      <c r="AP71">
        <f t="shared" si="19"/>
        <v>6.5778709272873419E-3</v>
      </c>
      <c r="AQ71">
        <f t="shared" si="19"/>
        <v>6.4753662493274283E-3</v>
      </c>
      <c r="AR71">
        <f t="shared" si="27"/>
        <v>6.3759715245305087E-3</v>
      </c>
      <c r="AS71">
        <f t="shared" si="27"/>
        <v>6.2796867528965763E-3</v>
      </c>
      <c r="AT71">
        <f t="shared" si="27"/>
        <v>6.1865119344256458E-3</v>
      </c>
      <c r="AU71">
        <f t="shared" si="27"/>
        <v>6.0964470691177016E-3</v>
      </c>
      <c r="AV71">
        <f t="shared" si="27"/>
        <v>6.0094921569727447E-3</v>
      </c>
      <c r="AW71">
        <f t="shared" si="27"/>
        <v>5.9256471979907818E-3</v>
      </c>
      <c r="AX71">
        <f t="shared" si="27"/>
        <v>5.844912192171813E-3</v>
      </c>
      <c r="AY71">
        <f t="shared" si="27"/>
        <v>5.7672871395158323E-3</v>
      </c>
      <c r="AZ71">
        <f t="shared" si="27"/>
        <v>5.6927720400228449E-3</v>
      </c>
      <c r="BA71">
        <f t="shared" si="27"/>
        <v>5.6213668936928446E-3</v>
      </c>
      <c r="BB71">
        <f t="shared" si="27"/>
        <v>5.5530717005258384E-3</v>
      </c>
      <c r="BC71">
        <f t="shared" si="27"/>
        <v>5.4878864605218264E-3</v>
      </c>
      <c r="BD71">
        <f t="shared" si="27"/>
        <v>5.4258111736808015E-3</v>
      </c>
      <c r="BE71">
        <f t="shared" si="27"/>
        <v>5.3668458400027708E-3</v>
      </c>
      <c r="BF71">
        <f t="shared" si="27"/>
        <v>5.310990459487735E-3</v>
      </c>
      <c r="BG71">
        <f t="shared" si="27"/>
        <v>5.2582450321356855E-3</v>
      </c>
      <c r="BH71">
        <f t="shared" si="22"/>
        <v>5.2086095579466233E-3</v>
      </c>
      <c r="BI71">
        <f t="shared" si="22"/>
        <v>5.1620840369205551E-3</v>
      </c>
      <c r="BJ71">
        <f t="shared" si="22"/>
        <v>5.1186684690574819E-3</v>
      </c>
      <c r="BK71">
        <f t="shared" si="22"/>
        <v>5.078362854357402E-3</v>
      </c>
      <c r="BL71">
        <f t="shared" si="22"/>
        <v>5.0411671928203092E-3</v>
      </c>
      <c r="BM71">
        <f t="shared" si="22"/>
        <v>5.0070814844462106E-3</v>
      </c>
      <c r="BN71">
        <f t="shared" si="22"/>
        <v>4.9761057292350992E-3</v>
      </c>
      <c r="BO71">
        <f t="shared" si="25"/>
        <v>4.9482399271869818E-3</v>
      </c>
      <c r="BP71">
        <f t="shared" si="25"/>
        <v>4.9234840783018586E-3</v>
      </c>
      <c r="BQ71">
        <f t="shared" si="25"/>
        <v>4.9018381825797234E-3</v>
      </c>
      <c r="BR71">
        <f t="shared" si="25"/>
        <v>4.8833022400205746E-3</v>
      </c>
      <c r="BS71">
        <f t="shared" si="25"/>
        <v>4.8678762506244276E-3</v>
      </c>
      <c r="BT71">
        <f t="shared" si="25"/>
        <v>4.855560214391267E-3</v>
      </c>
      <c r="BU71">
        <f t="shared" si="25"/>
        <v>4.8463541313210935E-3</v>
      </c>
      <c r="BV71">
        <f t="shared" si="25"/>
        <v>4.8402580014139142E-3</v>
      </c>
      <c r="BW71">
        <f t="shared" si="25"/>
        <v>4.8372718246697359E-3</v>
      </c>
      <c r="BX71">
        <f t="shared" si="25"/>
        <v>4.8373956010885379E-3</v>
      </c>
      <c r="BY71">
        <f t="shared" si="25"/>
        <v>4.8406293306703339E-3</v>
      </c>
      <c r="BZ71">
        <f t="shared" si="25"/>
        <v>4.8469730134151172E-3</v>
      </c>
      <c r="CA71">
        <f t="shared" si="25"/>
        <v>4.8564266493229024E-3</v>
      </c>
      <c r="CB71">
        <f t="shared" si="25"/>
        <v>4.8689902383936669E-3</v>
      </c>
      <c r="CC71">
        <f t="shared" si="25"/>
        <v>4.8846637806274325E-3</v>
      </c>
      <c r="CD71">
        <f t="shared" si="25"/>
        <v>4.9034472760241792E-3</v>
      </c>
      <c r="CE71">
        <f t="shared" si="18"/>
        <v>4.9253407245839331E-3</v>
      </c>
      <c r="CF71">
        <f t="shared" si="18"/>
        <v>4.9503441263066671E-3</v>
      </c>
      <c r="CG71">
        <f t="shared" si="28"/>
        <v>4.9784574811923884E-3</v>
      </c>
      <c r="CH71">
        <f t="shared" si="28"/>
        <v>5.0096807892411107E-3</v>
      </c>
      <c r="CI71">
        <f t="shared" si="28"/>
        <v>5.0440140504528202E-3</v>
      </c>
      <c r="CJ71">
        <f t="shared" si="28"/>
        <v>5.0814572648275238E-3</v>
      </c>
      <c r="CK71">
        <f t="shared" si="28"/>
        <v>5.1220104323652146E-3</v>
      </c>
      <c r="CL71">
        <f t="shared" si="28"/>
        <v>5.1656735530658995E-3</v>
      </c>
      <c r="CM71">
        <f t="shared" si="28"/>
        <v>5.2124466269295715E-3</v>
      </c>
      <c r="CN71">
        <f t="shared" si="28"/>
        <v>5.2623296539562395E-3</v>
      </c>
      <c r="CO71">
        <f t="shared" si="28"/>
        <v>5.3153226341458998E-3</v>
      </c>
      <c r="CP71">
        <f t="shared" si="28"/>
        <v>5.3714255674985403E-3</v>
      </c>
      <c r="CQ71">
        <f t="shared" si="28"/>
        <v>5.4306384540141889E-3</v>
      </c>
      <c r="CR71">
        <f t="shared" si="28"/>
        <v>5.4929612936928177E-3</v>
      </c>
      <c r="CS71">
        <f t="shared" si="28"/>
        <v>5.5583940865344406E-3</v>
      </c>
      <c r="CT71">
        <f t="shared" si="28"/>
        <v>5.6269368325390576E-3</v>
      </c>
      <c r="CU71">
        <f t="shared" si="28"/>
        <v>5.6985895317066687E-3</v>
      </c>
      <c r="CV71">
        <f t="shared" si="28"/>
        <v>5.7733521840372601E-3</v>
      </c>
    </row>
    <row r="72" spans="19:100" x14ac:dyDescent="0.2">
      <c r="S72">
        <v>36.900000000000098</v>
      </c>
      <c r="T72">
        <f t="shared" si="26"/>
        <v>9.6377501304253828E-3</v>
      </c>
      <c r="U72">
        <f t="shared" si="26"/>
        <v>9.4667312522969272E-3</v>
      </c>
      <c r="V72">
        <f t="shared" si="26"/>
        <v>9.2988223273314675E-3</v>
      </c>
      <c r="W72">
        <f t="shared" si="26"/>
        <v>9.1340233555290001E-3</v>
      </c>
      <c r="X72">
        <f t="shared" si="26"/>
        <v>8.9723343368895286E-3</v>
      </c>
      <c r="Y72">
        <f t="shared" si="26"/>
        <v>8.8137552714130356E-3</v>
      </c>
      <c r="Z72">
        <f t="shared" si="26"/>
        <v>8.6582861590995368E-3</v>
      </c>
      <c r="AA72">
        <f t="shared" si="26"/>
        <v>8.5059269999490199E-3</v>
      </c>
      <c r="AB72">
        <f t="shared" si="26"/>
        <v>8.3566777939615092E-3</v>
      </c>
      <c r="AC72">
        <f t="shared" si="26"/>
        <v>8.2105385411369945E-3</v>
      </c>
      <c r="AD72">
        <f t="shared" si="26"/>
        <v>8.0675092414754582E-3</v>
      </c>
      <c r="AE72">
        <f t="shared" si="26"/>
        <v>7.9275898949769177E-3</v>
      </c>
      <c r="AF72">
        <f t="shared" si="26"/>
        <v>7.7907805016413697E-3</v>
      </c>
      <c r="AG72">
        <f t="shared" si="26"/>
        <v>7.6570810614688166E-3</v>
      </c>
      <c r="AH72">
        <f t="shared" si="26"/>
        <v>7.5264915744592438E-3</v>
      </c>
      <c r="AI72">
        <f t="shared" si="26"/>
        <v>7.3990120406126712E-3</v>
      </c>
      <c r="AJ72">
        <f t="shared" si="19"/>
        <v>7.2746424599290866E-3</v>
      </c>
      <c r="AK72">
        <f t="shared" si="19"/>
        <v>7.1533828324084892E-3</v>
      </c>
      <c r="AL72">
        <f t="shared" si="19"/>
        <v>7.0352331580508928E-3</v>
      </c>
      <c r="AM72">
        <f t="shared" si="19"/>
        <v>6.9201934368562836E-3</v>
      </c>
      <c r="AN72">
        <f t="shared" si="19"/>
        <v>6.8082636688246607E-3</v>
      </c>
      <c r="AO72">
        <f t="shared" si="19"/>
        <v>6.6994438539560398E-3</v>
      </c>
      <c r="AP72">
        <f t="shared" si="19"/>
        <v>6.593733992250406E-3</v>
      </c>
      <c r="AQ72">
        <f t="shared" ref="AJ72:AQ77" si="29">$H$3+$H$4*AQ$2+$H$5*AQ$2*AQ$2+$H$6*$S72+$H$7*$S72*$S72+$H$8*AQ$2*$S72</f>
        <v>6.4911340837077586E-3</v>
      </c>
      <c r="AR72">
        <f t="shared" si="27"/>
        <v>6.391644128328107E-3</v>
      </c>
      <c r="AS72">
        <f t="shared" si="27"/>
        <v>6.2952641261114408E-3</v>
      </c>
      <c r="AT72">
        <f t="shared" si="27"/>
        <v>6.2019940770577766E-3</v>
      </c>
      <c r="AU72">
        <f t="shared" si="27"/>
        <v>6.1118339811670995E-3</v>
      </c>
      <c r="AV72">
        <f t="shared" si="27"/>
        <v>6.0247838384394096E-3</v>
      </c>
      <c r="AW72">
        <f t="shared" si="27"/>
        <v>5.9408436488747138E-3</v>
      </c>
      <c r="AX72">
        <f t="shared" si="27"/>
        <v>5.8600134124730113E-3</v>
      </c>
      <c r="AY72">
        <f t="shared" si="27"/>
        <v>5.7822931292342977E-3</v>
      </c>
      <c r="AZ72">
        <f t="shared" si="27"/>
        <v>5.7076827991585765E-3</v>
      </c>
      <c r="BA72">
        <f t="shared" si="27"/>
        <v>5.6361824222458433E-3</v>
      </c>
      <c r="BB72">
        <f t="shared" si="27"/>
        <v>5.5677919984961043E-3</v>
      </c>
      <c r="BC72">
        <f t="shared" si="27"/>
        <v>5.5025115279093584E-3</v>
      </c>
      <c r="BD72">
        <f t="shared" si="27"/>
        <v>5.4403410104856007E-3</v>
      </c>
      <c r="BE72">
        <f t="shared" si="27"/>
        <v>5.381280446224837E-3</v>
      </c>
      <c r="BF72">
        <f t="shared" si="27"/>
        <v>5.3253298351270675E-3</v>
      </c>
      <c r="BG72">
        <f t="shared" si="27"/>
        <v>5.2724891771922851E-3</v>
      </c>
      <c r="BH72">
        <f t="shared" si="22"/>
        <v>5.2227584724204891E-3</v>
      </c>
      <c r="BI72">
        <f t="shared" si="22"/>
        <v>5.1761377208116889E-3</v>
      </c>
      <c r="BJ72">
        <f t="shared" si="22"/>
        <v>5.1326269223658811E-3</v>
      </c>
      <c r="BK72">
        <f t="shared" si="22"/>
        <v>5.0922260770830683E-3</v>
      </c>
      <c r="BL72">
        <f t="shared" si="22"/>
        <v>5.0549351849632426E-3</v>
      </c>
      <c r="BM72">
        <f t="shared" si="22"/>
        <v>5.0207542460064102E-3</v>
      </c>
      <c r="BN72">
        <f t="shared" si="22"/>
        <v>4.9896832602125667E-3</v>
      </c>
      <c r="BO72">
        <f t="shared" si="25"/>
        <v>4.9617222275817156E-3</v>
      </c>
      <c r="BP72">
        <f t="shared" si="25"/>
        <v>4.9368711481138595E-3</v>
      </c>
      <c r="BQ72">
        <f t="shared" si="25"/>
        <v>4.9151300218089906E-3</v>
      </c>
      <c r="BR72">
        <f t="shared" si="25"/>
        <v>4.8964988486671088E-3</v>
      </c>
      <c r="BS72">
        <f t="shared" si="25"/>
        <v>4.8809776286882281E-3</v>
      </c>
      <c r="BT72">
        <f t="shared" si="25"/>
        <v>4.8685663618723337E-3</v>
      </c>
      <c r="BU72">
        <f t="shared" si="25"/>
        <v>4.8592650482194273E-3</v>
      </c>
      <c r="BV72">
        <f t="shared" si="25"/>
        <v>4.8530736877295151E-3</v>
      </c>
      <c r="BW72">
        <f t="shared" si="25"/>
        <v>4.8499922804026039E-3</v>
      </c>
      <c r="BX72">
        <f t="shared" si="25"/>
        <v>4.8500208262386721E-3</v>
      </c>
      <c r="BY72">
        <f t="shared" si="25"/>
        <v>4.8531593252377353E-3</v>
      </c>
      <c r="BZ72">
        <f t="shared" si="25"/>
        <v>4.8594077773997857E-3</v>
      </c>
      <c r="CA72">
        <f t="shared" si="25"/>
        <v>4.8687661827248371E-3</v>
      </c>
      <c r="CB72">
        <f t="shared" si="25"/>
        <v>4.8812345412128687E-3</v>
      </c>
      <c r="CC72">
        <f t="shared" si="25"/>
        <v>4.8968128528639014E-3</v>
      </c>
      <c r="CD72">
        <f t="shared" si="25"/>
        <v>4.9155011176779135E-3</v>
      </c>
      <c r="CE72">
        <f t="shared" si="18"/>
        <v>4.9372993356549353E-3</v>
      </c>
      <c r="CF72">
        <f t="shared" si="18"/>
        <v>4.9622075067949356E-3</v>
      </c>
      <c r="CG72">
        <f t="shared" si="28"/>
        <v>4.9902256310979231E-3</v>
      </c>
      <c r="CH72">
        <f t="shared" si="28"/>
        <v>5.0213537085639134E-3</v>
      </c>
      <c r="CI72">
        <f t="shared" si="28"/>
        <v>5.0555917391928891E-3</v>
      </c>
      <c r="CJ72">
        <f t="shared" si="28"/>
        <v>5.0929397229848598E-3</v>
      </c>
      <c r="CK72">
        <f t="shared" si="28"/>
        <v>5.1333976599398177E-3</v>
      </c>
      <c r="CL72">
        <f t="shared" si="28"/>
        <v>5.1769655500577688E-3</v>
      </c>
      <c r="CM72">
        <f t="shared" si="28"/>
        <v>5.2236433933387089E-3</v>
      </c>
      <c r="CN72">
        <f t="shared" si="28"/>
        <v>5.2734311897826422E-3</v>
      </c>
      <c r="CO72">
        <f t="shared" si="28"/>
        <v>5.3263289393895696E-3</v>
      </c>
      <c r="CP72">
        <f t="shared" si="28"/>
        <v>5.3823366421594764E-3</v>
      </c>
      <c r="CQ72">
        <f t="shared" si="28"/>
        <v>5.441454298092392E-3</v>
      </c>
      <c r="CR72">
        <f t="shared" si="28"/>
        <v>5.5036819071882879E-3</v>
      </c>
      <c r="CS72">
        <f t="shared" si="28"/>
        <v>5.569019469447177E-3</v>
      </c>
      <c r="CT72">
        <f t="shared" si="28"/>
        <v>5.637466984869062E-3</v>
      </c>
      <c r="CU72">
        <f t="shared" si="28"/>
        <v>5.7090244534539394E-3</v>
      </c>
      <c r="CV72">
        <f t="shared" si="28"/>
        <v>5.7836918752017978E-3</v>
      </c>
    </row>
    <row r="73" spans="19:100" x14ac:dyDescent="0.2">
      <c r="S73">
        <v>37.000000000000099</v>
      </c>
      <c r="T73">
        <f t="shared" si="26"/>
        <v>9.6566087219354026E-3</v>
      </c>
      <c r="U73">
        <f t="shared" si="26"/>
        <v>9.485494613224215E-3</v>
      </c>
      <c r="V73">
        <f t="shared" si="26"/>
        <v>9.3174904576760215E-3</v>
      </c>
      <c r="W73">
        <f t="shared" si="26"/>
        <v>9.1525962552908204E-3</v>
      </c>
      <c r="X73">
        <f t="shared" si="26"/>
        <v>8.9908120060686152E-3</v>
      </c>
      <c r="Y73">
        <f t="shared" si="26"/>
        <v>8.8321377100093901E-3</v>
      </c>
      <c r="Z73">
        <f t="shared" si="26"/>
        <v>8.6765733671131592E-3</v>
      </c>
      <c r="AA73">
        <f t="shared" si="26"/>
        <v>8.5241189773799068E-3</v>
      </c>
      <c r="AB73">
        <f t="shared" si="26"/>
        <v>8.3747745408096642E-3</v>
      </c>
      <c r="AC73">
        <f t="shared" si="26"/>
        <v>8.2285400574024156E-3</v>
      </c>
      <c r="AD73">
        <f t="shared" si="26"/>
        <v>8.0854155271581456E-3</v>
      </c>
      <c r="AE73">
        <f t="shared" si="26"/>
        <v>7.9454009500768714E-3</v>
      </c>
      <c r="AF73">
        <f t="shared" si="26"/>
        <v>7.8084963261585913E-3</v>
      </c>
      <c r="AG73">
        <f t="shared" si="26"/>
        <v>7.6747016554033045E-3</v>
      </c>
      <c r="AH73">
        <f t="shared" si="26"/>
        <v>7.5440169378109987E-3</v>
      </c>
      <c r="AI73">
        <f t="shared" si="26"/>
        <v>7.4164421733816932E-3</v>
      </c>
      <c r="AJ73">
        <f t="shared" si="29"/>
        <v>7.2919773621153757E-3</v>
      </c>
      <c r="AK73">
        <f t="shared" si="29"/>
        <v>7.1706225040120445E-3</v>
      </c>
      <c r="AL73">
        <f t="shared" si="29"/>
        <v>7.0523775990717144E-3</v>
      </c>
      <c r="AM73">
        <f t="shared" si="29"/>
        <v>6.9372426472943723E-3</v>
      </c>
      <c r="AN73">
        <f t="shared" si="29"/>
        <v>6.8252176486800166E-3</v>
      </c>
      <c r="AO73">
        <f t="shared" si="29"/>
        <v>6.7163026032286627E-3</v>
      </c>
      <c r="AP73">
        <f t="shared" si="29"/>
        <v>6.6104975109402952E-3</v>
      </c>
      <c r="AQ73">
        <f t="shared" si="29"/>
        <v>6.5078023718149157E-3</v>
      </c>
      <c r="AR73">
        <f t="shared" si="27"/>
        <v>6.4082171858525295E-3</v>
      </c>
      <c r="AS73">
        <f t="shared" si="27"/>
        <v>6.3117419530531304E-3</v>
      </c>
      <c r="AT73">
        <f t="shared" si="27"/>
        <v>6.2183766734167333E-3</v>
      </c>
      <c r="AU73">
        <f t="shared" si="27"/>
        <v>6.1281213469433233E-3</v>
      </c>
      <c r="AV73">
        <f t="shared" si="27"/>
        <v>6.0409759736328996E-3</v>
      </c>
      <c r="AW73">
        <f t="shared" si="27"/>
        <v>5.9569405534854701E-3</v>
      </c>
      <c r="AX73">
        <f t="shared" si="27"/>
        <v>5.8760150865010356E-3</v>
      </c>
      <c r="AY73">
        <f t="shared" si="27"/>
        <v>5.7981995726795873E-3</v>
      </c>
      <c r="AZ73">
        <f t="shared" si="27"/>
        <v>5.7234940120211341E-3</v>
      </c>
      <c r="BA73">
        <f t="shared" si="27"/>
        <v>5.6518984045256671E-3</v>
      </c>
      <c r="BB73">
        <f t="shared" si="27"/>
        <v>5.5834127501931943E-3</v>
      </c>
      <c r="BC73">
        <f t="shared" si="27"/>
        <v>5.5180370490237165E-3</v>
      </c>
      <c r="BD73">
        <f t="shared" si="27"/>
        <v>5.4557713010172249E-3</v>
      </c>
      <c r="BE73">
        <f t="shared" si="27"/>
        <v>5.3966155061737284E-3</v>
      </c>
      <c r="BF73">
        <f t="shared" si="27"/>
        <v>5.3405696644932251E-3</v>
      </c>
      <c r="BG73">
        <f t="shared" si="27"/>
        <v>5.2876337759757098E-3</v>
      </c>
      <c r="BH73">
        <f t="shared" si="22"/>
        <v>5.2378078406211809E-3</v>
      </c>
      <c r="BI73">
        <f t="shared" si="22"/>
        <v>5.1910918584296469E-3</v>
      </c>
      <c r="BJ73">
        <f t="shared" si="22"/>
        <v>5.1474858294011062E-3</v>
      </c>
      <c r="BK73">
        <f t="shared" si="22"/>
        <v>5.1069897535355596E-3</v>
      </c>
      <c r="BL73">
        <f t="shared" si="22"/>
        <v>5.0696036308330011E-3</v>
      </c>
      <c r="BM73">
        <f t="shared" si="22"/>
        <v>5.0353274612934358E-3</v>
      </c>
      <c r="BN73">
        <f t="shared" si="22"/>
        <v>5.0041612449168577E-3</v>
      </c>
      <c r="BO73">
        <f t="shared" si="25"/>
        <v>4.9761049817032745E-3</v>
      </c>
      <c r="BP73">
        <f t="shared" si="25"/>
        <v>4.9511586716526855E-3</v>
      </c>
      <c r="BQ73">
        <f t="shared" si="25"/>
        <v>4.9293223147650828E-3</v>
      </c>
      <c r="BR73">
        <f t="shared" si="25"/>
        <v>4.9105959110404673E-3</v>
      </c>
      <c r="BS73">
        <f t="shared" si="25"/>
        <v>4.8949794604788537E-3</v>
      </c>
      <c r="BT73">
        <f t="shared" si="25"/>
        <v>4.8824729630802272E-3</v>
      </c>
      <c r="BU73">
        <f t="shared" si="25"/>
        <v>4.8730764188445862E-3</v>
      </c>
      <c r="BV73">
        <f t="shared" si="25"/>
        <v>4.8667898277719411E-3</v>
      </c>
      <c r="BW73">
        <f t="shared" si="25"/>
        <v>4.863613189862297E-3</v>
      </c>
      <c r="BX73">
        <f t="shared" si="25"/>
        <v>4.8635465051156323E-3</v>
      </c>
      <c r="BY73">
        <f t="shared" si="25"/>
        <v>4.8665897735319617E-3</v>
      </c>
      <c r="BZ73">
        <f t="shared" si="25"/>
        <v>4.8727429951112792E-3</v>
      </c>
      <c r="CA73">
        <f t="shared" si="25"/>
        <v>4.8820061698535977E-3</v>
      </c>
      <c r="CB73">
        <f t="shared" si="25"/>
        <v>4.8943792977588956E-3</v>
      </c>
      <c r="CC73">
        <f t="shared" ref="BO73:CD77" si="30">$H$3+$H$4*CC$2+$H$5*CC$2*CC$2+$H$6*$S73+$H$7*$S73*$S73+$H$8*CC$2*$S73</f>
        <v>4.9098623788271945E-3</v>
      </c>
      <c r="CD73">
        <f t="shared" si="30"/>
        <v>4.9284554130584746E-3</v>
      </c>
      <c r="CE73">
        <f t="shared" si="18"/>
        <v>4.9501584004527626E-3</v>
      </c>
      <c r="CF73">
        <f t="shared" si="18"/>
        <v>4.97497134101003E-3</v>
      </c>
      <c r="CG73">
        <f t="shared" si="28"/>
        <v>5.0028942347302846E-3</v>
      </c>
      <c r="CH73">
        <f t="shared" si="28"/>
        <v>5.0339270816135411E-3</v>
      </c>
      <c r="CI73">
        <f t="shared" si="28"/>
        <v>5.0680698816597831E-3</v>
      </c>
      <c r="CJ73">
        <f t="shared" si="28"/>
        <v>5.1053226348690209E-3</v>
      </c>
      <c r="CK73">
        <f t="shared" si="28"/>
        <v>5.1456853412412459E-3</v>
      </c>
      <c r="CL73">
        <f t="shared" si="28"/>
        <v>5.1891580007764641E-3</v>
      </c>
      <c r="CM73">
        <f t="shared" si="28"/>
        <v>5.2357406134746695E-3</v>
      </c>
      <c r="CN73">
        <f t="shared" si="28"/>
        <v>5.2854331793358699E-3</v>
      </c>
      <c r="CO73">
        <f t="shared" si="28"/>
        <v>5.3382356983600644E-3</v>
      </c>
      <c r="CP73">
        <f t="shared" si="28"/>
        <v>5.3941481705472392E-3</v>
      </c>
      <c r="CQ73">
        <f t="shared" si="28"/>
        <v>5.4531705958974202E-3</v>
      </c>
      <c r="CR73">
        <f t="shared" si="28"/>
        <v>5.5153029744105832E-3</v>
      </c>
      <c r="CS73">
        <f t="shared" si="28"/>
        <v>5.5805453060867403E-3</v>
      </c>
      <c r="CT73">
        <f t="shared" si="28"/>
        <v>5.6488975909258898E-3</v>
      </c>
      <c r="CU73">
        <f t="shared" si="28"/>
        <v>5.7203598289280351E-3</v>
      </c>
      <c r="CV73">
        <f t="shared" si="28"/>
        <v>5.7949320200931607E-3</v>
      </c>
    </row>
    <row r="74" spans="19:100" x14ac:dyDescent="0.2">
      <c r="S74">
        <v>37.100000000000101</v>
      </c>
      <c r="T74">
        <f t="shared" si="26"/>
        <v>9.6763677671722406E-3</v>
      </c>
      <c r="U74">
        <f t="shared" si="26"/>
        <v>9.5051584278783192E-3</v>
      </c>
      <c r="V74">
        <f t="shared" si="26"/>
        <v>9.337059041747392E-3</v>
      </c>
      <c r="W74">
        <f t="shared" si="26"/>
        <v>9.1720696087794588E-3</v>
      </c>
      <c r="X74">
        <f t="shared" si="26"/>
        <v>9.0101901289745198E-3</v>
      </c>
      <c r="Y74">
        <f t="shared" si="26"/>
        <v>8.8514206023325628E-3</v>
      </c>
      <c r="Z74">
        <f t="shared" si="26"/>
        <v>8.6957610288535981E-3</v>
      </c>
      <c r="AA74">
        <f t="shared" si="26"/>
        <v>8.5432114085376137E-3</v>
      </c>
      <c r="AB74">
        <f t="shared" si="26"/>
        <v>8.3937717413846372E-3</v>
      </c>
      <c r="AC74">
        <f t="shared" si="26"/>
        <v>8.2474420273946549E-3</v>
      </c>
      <c r="AD74">
        <f t="shared" si="26"/>
        <v>8.1042222665676528E-3</v>
      </c>
      <c r="AE74">
        <f t="shared" si="26"/>
        <v>7.9641124589036449E-3</v>
      </c>
      <c r="AF74">
        <f t="shared" si="26"/>
        <v>7.827112604402631E-3</v>
      </c>
      <c r="AG74">
        <f t="shared" si="26"/>
        <v>7.6932227030646113E-3</v>
      </c>
      <c r="AH74">
        <f t="shared" ref="T74:AI77" si="31">$H$3+$H$4*AH$2+$H$5*AH$2*AH$2+$H$6*$S74+$H$7*$S74*$S74+$H$8*AH$2*$S74</f>
        <v>7.5624427548895718E-3</v>
      </c>
      <c r="AI74">
        <f t="shared" si="31"/>
        <v>7.4347727598775334E-3</v>
      </c>
      <c r="AJ74">
        <f t="shared" si="29"/>
        <v>7.3102127180284821E-3</v>
      </c>
      <c r="AK74">
        <f t="shared" si="29"/>
        <v>7.188762629342418E-3</v>
      </c>
      <c r="AL74">
        <f t="shared" si="29"/>
        <v>7.070422493819355E-3</v>
      </c>
      <c r="AM74">
        <f t="shared" si="29"/>
        <v>6.9551923114592792E-3</v>
      </c>
      <c r="AN74">
        <f t="shared" si="29"/>
        <v>6.8430720822621905E-3</v>
      </c>
      <c r="AO74">
        <f t="shared" si="29"/>
        <v>6.7340618062281029E-3</v>
      </c>
      <c r="AP74">
        <f t="shared" si="29"/>
        <v>6.6281614833570025E-3</v>
      </c>
      <c r="AQ74">
        <f t="shared" si="29"/>
        <v>6.5253711136488892E-3</v>
      </c>
      <c r="AR74">
        <f t="shared" si="27"/>
        <v>6.4256906971037701E-3</v>
      </c>
      <c r="AS74">
        <f t="shared" si="27"/>
        <v>6.3291202337216381E-3</v>
      </c>
      <c r="AT74">
        <f t="shared" si="27"/>
        <v>6.2356597235025081E-3</v>
      </c>
      <c r="AU74">
        <f t="shared" si="27"/>
        <v>6.1453091664463643E-3</v>
      </c>
      <c r="AV74">
        <f t="shared" si="27"/>
        <v>6.0580685625532069E-3</v>
      </c>
      <c r="AW74">
        <f t="shared" si="27"/>
        <v>5.9739379118230454E-3</v>
      </c>
      <c r="AX74">
        <f t="shared" si="27"/>
        <v>5.892917214255877E-3</v>
      </c>
      <c r="AY74">
        <f t="shared" si="27"/>
        <v>5.8150064698516959E-3</v>
      </c>
      <c r="AZ74">
        <f t="shared" si="27"/>
        <v>5.7402056786105089E-3</v>
      </c>
      <c r="BA74">
        <f t="shared" si="27"/>
        <v>5.6685148405323091E-3</v>
      </c>
      <c r="BB74">
        <f t="shared" si="27"/>
        <v>5.5999339556171033E-3</v>
      </c>
      <c r="BC74">
        <f t="shared" si="27"/>
        <v>5.5344630238648917E-3</v>
      </c>
      <c r="BD74">
        <f t="shared" si="27"/>
        <v>5.4721020452756673E-3</v>
      </c>
      <c r="BE74">
        <f t="shared" si="27"/>
        <v>5.412851019849437E-3</v>
      </c>
      <c r="BF74">
        <f t="shared" si="27"/>
        <v>5.3567099475862016E-3</v>
      </c>
      <c r="BG74">
        <f t="shared" si="27"/>
        <v>5.3036788284859526E-3</v>
      </c>
      <c r="BH74">
        <f t="shared" si="22"/>
        <v>5.2537576625486908E-3</v>
      </c>
      <c r="BI74">
        <f t="shared" si="22"/>
        <v>5.2069464497744231E-3</v>
      </c>
      <c r="BJ74">
        <f t="shared" si="22"/>
        <v>5.1632451901631495E-3</v>
      </c>
      <c r="BK74">
        <f t="shared" si="22"/>
        <v>5.12265388371487E-3</v>
      </c>
      <c r="BL74">
        <f t="shared" si="22"/>
        <v>5.0851725304295776E-3</v>
      </c>
      <c r="BM74">
        <f t="shared" si="22"/>
        <v>5.0508011303072795E-3</v>
      </c>
      <c r="BN74">
        <f t="shared" si="22"/>
        <v>5.0195396833479684E-3</v>
      </c>
      <c r="BO74">
        <f t="shared" si="30"/>
        <v>4.9913881895516515E-3</v>
      </c>
      <c r="BP74">
        <f t="shared" si="30"/>
        <v>4.9663466489183287E-3</v>
      </c>
      <c r="BQ74">
        <f t="shared" si="30"/>
        <v>4.9444150614479931E-3</v>
      </c>
      <c r="BR74">
        <f t="shared" si="30"/>
        <v>4.9255934271406447E-3</v>
      </c>
      <c r="BS74">
        <f t="shared" si="30"/>
        <v>4.9098817459962973E-3</v>
      </c>
      <c r="BT74">
        <f t="shared" si="30"/>
        <v>4.8972800180149371E-3</v>
      </c>
      <c r="BU74">
        <f t="shared" si="30"/>
        <v>4.8877882431965641E-3</v>
      </c>
      <c r="BV74">
        <f t="shared" si="30"/>
        <v>4.8814064215411852E-3</v>
      </c>
      <c r="BW74">
        <f t="shared" si="30"/>
        <v>4.8781345530488083E-3</v>
      </c>
      <c r="BX74">
        <f t="shared" si="30"/>
        <v>4.8779726377194098E-3</v>
      </c>
      <c r="BY74">
        <f t="shared" si="30"/>
        <v>4.8809206755530063E-3</v>
      </c>
      <c r="BZ74">
        <f t="shared" si="30"/>
        <v>4.88697866654959E-3</v>
      </c>
      <c r="CA74">
        <f t="shared" si="30"/>
        <v>4.8961466107091756E-3</v>
      </c>
      <c r="CB74">
        <f t="shared" si="30"/>
        <v>4.9084245080317406E-3</v>
      </c>
      <c r="CC74">
        <f t="shared" si="30"/>
        <v>4.9238123585173075E-3</v>
      </c>
      <c r="CD74">
        <f t="shared" si="30"/>
        <v>4.9423101621658538E-3</v>
      </c>
      <c r="CE74">
        <f t="shared" si="18"/>
        <v>4.963917918977408E-3</v>
      </c>
      <c r="CF74">
        <f t="shared" si="18"/>
        <v>4.9886356289519426E-3</v>
      </c>
      <c r="CG74">
        <f t="shared" si="28"/>
        <v>5.0164632920894634E-3</v>
      </c>
      <c r="CH74">
        <f t="shared" si="28"/>
        <v>5.0474009083899861E-3</v>
      </c>
      <c r="CI74">
        <f t="shared" si="28"/>
        <v>5.081448477853496E-3</v>
      </c>
      <c r="CJ74">
        <f t="shared" si="28"/>
        <v>5.118606000480001E-3</v>
      </c>
      <c r="CK74">
        <f t="shared" si="28"/>
        <v>5.1588734762694922E-3</v>
      </c>
      <c r="CL74">
        <f t="shared" si="28"/>
        <v>5.2022509052219775E-3</v>
      </c>
      <c r="CM74">
        <f t="shared" si="28"/>
        <v>5.24873828733745E-3</v>
      </c>
      <c r="CN74">
        <f t="shared" si="28"/>
        <v>5.2983356226159167E-3</v>
      </c>
      <c r="CO74">
        <f t="shared" si="28"/>
        <v>5.3510429110573774E-3</v>
      </c>
      <c r="CP74">
        <f t="shared" si="28"/>
        <v>5.4068601526618184E-3</v>
      </c>
      <c r="CQ74">
        <f t="shared" si="28"/>
        <v>5.4657873474292674E-3</v>
      </c>
      <c r="CR74">
        <f t="shared" si="28"/>
        <v>5.5278244953596966E-3</v>
      </c>
      <c r="CS74">
        <f t="shared" si="28"/>
        <v>5.5929715964531199E-3</v>
      </c>
      <c r="CT74">
        <f t="shared" si="28"/>
        <v>5.6612286507095374E-3</v>
      </c>
      <c r="CU74">
        <f t="shared" si="28"/>
        <v>5.732595658128949E-3</v>
      </c>
      <c r="CV74">
        <f t="shared" si="28"/>
        <v>5.8070726187113408E-3</v>
      </c>
    </row>
    <row r="75" spans="19:100" x14ac:dyDescent="0.2">
      <c r="S75">
        <v>37.200000000000102</v>
      </c>
      <c r="T75">
        <f t="shared" si="31"/>
        <v>9.6970272661359193E-3</v>
      </c>
      <c r="U75">
        <f t="shared" si="31"/>
        <v>9.5257226962592641E-3</v>
      </c>
      <c r="V75">
        <f t="shared" si="31"/>
        <v>9.3575280795456031E-3</v>
      </c>
      <c r="W75">
        <f t="shared" si="31"/>
        <v>9.1924434159949379E-3</v>
      </c>
      <c r="X75">
        <f t="shared" si="31"/>
        <v>9.0304687056072652E-3</v>
      </c>
      <c r="Y75">
        <f t="shared" si="31"/>
        <v>8.8716039483825726E-3</v>
      </c>
      <c r="Z75">
        <f t="shared" si="31"/>
        <v>8.7158491443208759E-3</v>
      </c>
      <c r="AA75">
        <f t="shared" si="31"/>
        <v>8.5632042934221577E-3</v>
      </c>
      <c r="AB75">
        <f t="shared" si="31"/>
        <v>8.4136693956864475E-3</v>
      </c>
      <c r="AC75">
        <f t="shared" si="31"/>
        <v>8.2672444511137332E-3</v>
      </c>
      <c r="AD75">
        <f t="shared" si="31"/>
        <v>8.1239294597039973E-3</v>
      </c>
      <c r="AE75">
        <f t="shared" si="31"/>
        <v>7.9837244214572556E-3</v>
      </c>
      <c r="AF75">
        <f t="shared" si="31"/>
        <v>7.8466293363735097E-3</v>
      </c>
      <c r="AG75">
        <f t="shared" si="31"/>
        <v>7.7126442044527562E-3</v>
      </c>
      <c r="AH75">
        <f t="shared" si="31"/>
        <v>7.5817690256949838E-3</v>
      </c>
      <c r="AI75">
        <f t="shared" si="31"/>
        <v>7.4540038001002125E-3</v>
      </c>
      <c r="AJ75">
        <f t="shared" si="29"/>
        <v>7.3293485276684275E-3</v>
      </c>
      <c r="AK75">
        <f t="shared" si="29"/>
        <v>7.2078032083996305E-3</v>
      </c>
      <c r="AL75">
        <f t="shared" si="29"/>
        <v>7.0893678422938346E-3</v>
      </c>
      <c r="AM75">
        <f t="shared" si="29"/>
        <v>6.974042429351025E-3</v>
      </c>
      <c r="AN75">
        <f t="shared" si="29"/>
        <v>6.8618269695712034E-3</v>
      </c>
      <c r="AO75">
        <f t="shared" si="29"/>
        <v>6.7527214629543829E-3</v>
      </c>
      <c r="AP75">
        <f t="shared" si="29"/>
        <v>6.6467259095005487E-3</v>
      </c>
      <c r="AQ75">
        <f t="shared" si="29"/>
        <v>6.5438403092097025E-3</v>
      </c>
      <c r="AR75">
        <f t="shared" si="27"/>
        <v>6.4440646620818505E-3</v>
      </c>
      <c r="AS75">
        <f t="shared" si="27"/>
        <v>6.3473989681169856E-3</v>
      </c>
      <c r="AT75">
        <f t="shared" si="27"/>
        <v>6.253843227315121E-3</v>
      </c>
      <c r="AU75">
        <f t="shared" si="27"/>
        <v>6.1633974396762443E-3</v>
      </c>
      <c r="AV75">
        <f t="shared" si="27"/>
        <v>6.076061605200354E-3</v>
      </c>
      <c r="AW75">
        <f t="shared" si="27"/>
        <v>5.9918357238874587E-3</v>
      </c>
      <c r="AX75">
        <f t="shared" si="27"/>
        <v>5.9107197957375575E-3</v>
      </c>
      <c r="AY75">
        <f t="shared" si="27"/>
        <v>5.8327138207506435E-3</v>
      </c>
      <c r="AZ75">
        <f t="shared" si="27"/>
        <v>5.7578177989267235E-3</v>
      </c>
      <c r="BA75">
        <f t="shared" si="27"/>
        <v>5.6860317302657899E-3</v>
      </c>
      <c r="BB75">
        <f t="shared" si="27"/>
        <v>5.6173556147678513E-3</v>
      </c>
      <c r="BC75">
        <f t="shared" si="27"/>
        <v>5.5517894524329068E-3</v>
      </c>
      <c r="BD75">
        <f t="shared" si="27"/>
        <v>5.4893332432609486E-3</v>
      </c>
      <c r="BE75">
        <f t="shared" si="27"/>
        <v>5.4299869872519854E-3</v>
      </c>
      <c r="BF75">
        <f t="shared" si="27"/>
        <v>5.3737506844060163E-3</v>
      </c>
      <c r="BG75">
        <f t="shared" si="27"/>
        <v>5.3206243347230335E-3</v>
      </c>
      <c r="BH75">
        <f t="shared" si="22"/>
        <v>5.2706079382030388E-3</v>
      </c>
      <c r="BI75">
        <f t="shared" si="22"/>
        <v>5.2237014948460381E-3</v>
      </c>
      <c r="BJ75">
        <f t="shared" si="22"/>
        <v>5.1799050046520308E-3</v>
      </c>
      <c r="BK75">
        <f t="shared" si="22"/>
        <v>5.1392184676210184E-3</v>
      </c>
      <c r="BL75">
        <f t="shared" si="22"/>
        <v>5.1016418837529932E-3</v>
      </c>
      <c r="BM75">
        <f t="shared" si="22"/>
        <v>5.0671752530479612E-3</v>
      </c>
      <c r="BN75">
        <f t="shared" si="22"/>
        <v>5.0358185755059173E-3</v>
      </c>
      <c r="BO75">
        <f t="shared" si="30"/>
        <v>5.0075718511268675E-3</v>
      </c>
      <c r="BP75">
        <f t="shared" si="30"/>
        <v>4.9824350799108118E-3</v>
      </c>
      <c r="BQ75">
        <f t="shared" si="30"/>
        <v>4.9604082618577433E-3</v>
      </c>
      <c r="BR75">
        <f t="shared" si="30"/>
        <v>4.9414913969676611E-3</v>
      </c>
      <c r="BS75">
        <f t="shared" si="30"/>
        <v>4.9256844852405808E-3</v>
      </c>
      <c r="BT75">
        <f t="shared" si="30"/>
        <v>4.9129875266764877E-3</v>
      </c>
      <c r="BU75">
        <f t="shared" si="30"/>
        <v>4.903400521275381E-3</v>
      </c>
      <c r="BV75">
        <f t="shared" si="30"/>
        <v>4.8969234690372683E-3</v>
      </c>
      <c r="BW75">
        <f t="shared" si="30"/>
        <v>4.8935563699621584E-3</v>
      </c>
      <c r="BX75">
        <f t="shared" si="30"/>
        <v>4.8932992240500271E-3</v>
      </c>
      <c r="BY75">
        <f t="shared" si="30"/>
        <v>4.8961520313008898E-3</v>
      </c>
      <c r="BZ75">
        <f t="shared" si="30"/>
        <v>4.9021147917147415E-3</v>
      </c>
      <c r="CA75">
        <f t="shared" si="30"/>
        <v>4.9111875052915924E-3</v>
      </c>
      <c r="CB75">
        <f t="shared" si="30"/>
        <v>4.9233701720314254E-3</v>
      </c>
      <c r="CC75">
        <f t="shared" si="30"/>
        <v>4.9386627919342577E-3</v>
      </c>
      <c r="CD75">
        <f t="shared" si="30"/>
        <v>4.9570653650000702E-3</v>
      </c>
      <c r="CE75">
        <f t="shared" si="18"/>
        <v>4.9785778912288924E-3</v>
      </c>
      <c r="CF75">
        <f t="shared" si="18"/>
        <v>5.0032003706206932E-3</v>
      </c>
      <c r="CG75">
        <f t="shared" si="28"/>
        <v>5.0309328031754811E-3</v>
      </c>
      <c r="CH75">
        <f t="shared" si="28"/>
        <v>5.0617751888932709E-3</v>
      </c>
      <c r="CI75">
        <f t="shared" si="28"/>
        <v>5.095727527774048E-3</v>
      </c>
      <c r="CJ75">
        <f t="shared" si="28"/>
        <v>5.1327898198178182E-3</v>
      </c>
      <c r="CK75">
        <f t="shared" si="28"/>
        <v>5.1729620650245766E-3</v>
      </c>
      <c r="CL75">
        <f t="shared" si="28"/>
        <v>5.216244263394329E-3</v>
      </c>
      <c r="CM75">
        <f t="shared" si="28"/>
        <v>5.2626364149270678E-3</v>
      </c>
      <c r="CN75">
        <f t="shared" si="28"/>
        <v>5.3121385196228024E-3</v>
      </c>
      <c r="CO75">
        <f t="shared" si="28"/>
        <v>5.3647505774815293E-3</v>
      </c>
      <c r="CP75">
        <f t="shared" si="28"/>
        <v>5.4204725885032383E-3</v>
      </c>
      <c r="CQ75">
        <f t="shared" si="28"/>
        <v>5.4793045526879535E-3</v>
      </c>
      <c r="CR75">
        <f t="shared" si="28"/>
        <v>5.541246470035649E-3</v>
      </c>
      <c r="CS75">
        <f t="shared" si="28"/>
        <v>5.6062983405463394E-3</v>
      </c>
      <c r="CT75">
        <f t="shared" si="28"/>
        <v>5.674460164220024E-3</v>
      </c>
      <c r="CU75">
        <f t="shared" si="28"/>
        <v>5.7457319410567018E-3</v>
      </c>
      <c r="CV75">
        <f t="shared" si="28"/>
        <v>5.8201136710563607E-3</v>
      </c>
    </row>
    <row r="76" spans="19:100" x14ac:dyDescent="0.2">
      <c r="S76">
        <v>37.300000000000097</v>
      </c>
      <c r="T76">
        <f t="shared" si="31"/>
        <v>9.7185872188263727E-3</v>
      </c>
      <c r="U76">
        <f t="shared" si="31"/>
        <v>9.5471874183669838E-3</v>
      </c>
      <c r="V76">
        <f t="shared" si="31"/>
        <v>9.3788975710705907E-3</v>
      </c>
      <c r="W76">
        <f t="shared" si="31"/>
        <v>9.2137176769371918E-3</v>
      </c>
      <c r="X76">
        <f t="shared" si="31"/>
        <v>9.0516477359667852E-3</v>
      </c>
      <c r="Y76">
        <f t="shared" si="31"/>
        <v>8.8926877481593607E-3</v>
      </c>
      <c r="Z76">
        <f t="shared" si="31"/>
        <v>8.7368377135149302E-3</v>
      </c>
      <c r="AA76">
        <f t="shared" si="31"/>
        <v>8.5840976320334782E-3</v>
      </c>
      <c r="AB76">
        <f t="shared" si="31"/>
        <v>8.434467503715036E-3</v>
      </c>
      <c r="AC76">
        <f t="shared" si="31"/>
        <v>8.2879473285595879E-3</v>
      </c>
      <c r="AD76">
        <f t="shared" si="31"/>
        <v>8.1445371065671183E-3</v>
      </c>
      <c r="AE76">
        <f t="shared" si="31"/>
        <v>8.0042368377376445E-3</v>
      </c>
      <c r="AF76">
        <f t="shared" si="31"/>
        <v>7.8670465220711649E-3</v>
      </c>
      <c r="AG76">
        <f t="shared" si="31"/>
        <v>7.7329661595676785E-3</v>
      </c>
      <c r="AH76">
        <f t="shared" si="31"/>
        <v>7.6019957502271723E-3</v>
      </c>
      <c r="AI76">
        <f t="shared" si="31"/>
        <v>7.4741352940496681E-3</v>
      </c>
      <c r="AJ76">
        <f t="shared" si="29"/>
        <v>7.3493847910351502E-3</v>
      </c>
      <c r="AK76">
        <f t="shared" si="29"/>
        <v>7.2277442411836194E-3</v>
      </c>
      <c r="AL76">
        <f t="shared" si="29"/>
        <v>7.1092136444950898E-3</v>
      </c>
      <c r="AM76">
        <f t="shared" si="29"/>
        <v>6.9937930009695481E-3</v>
      </c>
      <c r="AN76">
        <f t="shared" si="29"/>
        <v>6.8814823106069928E-3</v>
      </c>
      <c r="AO76">
        <f t="shared" si="29"/>
        <v>6.7722815734074394E-3</v>
      </c>
      <c r="AP76">
        <f t="shared" si="29"/>
        <v>6.6661907893708723E-3</v>
      </c>
      <c r="AQ76">
        <f t="shared" si="29"/>
        <v>6.5632099584972924E-3</v>
      </c>
      <c r="AR76">
        <f t="shared" si="27"/>
        <v>6.4633390807867066E-3</v>
      </c>
      <c r="AS76">
        <f t="shared" si="27"/>
        <v>6.3665781562391088E-3</v>
      </c>
      <c r="AT76">
        <f t="shared" si="27"/>
        <v>6.2729271848545112E-3</v>
      </c>
      <c r="AU76">
        <f t="shared" si="27"/>
        <v>6.1823861666329017E-3</v>
      </c>
      <c r="AV76">
        <f t="shared" si="27"/>
        <v>6.0949551015742785E-3</v>
      </c>
      <c r="AW76">
        <f t="shared" ref="AR76:BG77" si="32">$H$3+$H$4*AW$2+$H$5*AW$2*AW$2+$H$6*$S76+$H$7*$S76*$S76+$H$8*AW$2*$S76</f>
        <v>6.0106339896786494E-3</v>
      </c>
      <c r="AX76">
        <f t="shared" si="32"/>
        <v>5.9294228309460153E-3</v>
      </c>
      <c r="AY76">
        <f t="shared" si="32"/>
        <v>5.8513216253763675E-3</v>
      </c>
      <c r="AZ76">
        <f t="shared" si="32"/>
        <v>5.7763303729697138E-3</v>
      </c>
      <c r="BA76">
        <f t="shared" si="32"/>
        <v>5.7044490737260482E-3</v>
      </c>
      <c r="BB76">
        <f t="shared" si="32"/>
        <v>5.6356777276453758E-3</v>
      </c>
      <c r="BC76">
        <f t="shared" si="32"/>
        <v>5.5700163347276975E-3</v>
      </c>
      <c r="BD76">
        <f t="shared" si="32"/>
        <v>5.5074648949730073E-3</v>
      </c>
      <c r="BE76">
        <f t="shared" si="32"/>
        <v>5.4480234083813103E-3</v>
      </c>
      <c r="BF76">
        <f t="shared" si="32"/>
        <v>5.3916918749526074E-3</v>
      </c>
      <c r="BG76">
        <f t="shared" si="32"/>
        <v>5.3384702946868926E-3</v>
      </c>
      <c r="BH76">
        <f t="shared" si="22"/>
        <v>5.2883586675841641E-3</v>
      </c>
      <c r="BI76">
        <f t="shared" si="22"/>
        <v>5.2413569936444297E-3</v>
      </c>
      <c r="BJ76">
        <f t="shared" si="22"/>
        <v>5.1974652728676903E-3</v>
      </c>
      <c r="BK76">
        <f t="shared" si="22"/>
        <v>5.1566835052539442E-3</v>
      </c>
      <c r="BL76">
        <f t="shared" si="22"/>
        <v>5.1190116908031852E-3</v>
      </c>
      <c r="BM76">
        <f t="shared" si="22"/>
        <v>5.0844498295154212E-3</v>
      </c>
      <c r="BN76">
        <f t="shared" si="22"/>
        <v>5.0529979213906426E-3</v>
      </c>
      <c r="BO76">
        <f t="shared" si="30"/>
        <v>5.0246559664288599E-3</v>
      </c>
      <c r="BP76">
        <f t="shared" si="30"/>
        <v>4.9994239646300714E-3</v>
      </c>
      <c r="BQ76">
        <f t="shared" si="30"/>
        <v>4.9773019159942691E-3</v>
      </c>
      <c r="BR76">
        <f t="shared" si="30"/>
        <v>4.958289820521454E-3</v>
      </c>
      <c r="BS76">
        <f t="shared" si="30"/>
        <v>4.9423876782116408E-3</v>
      </c>
      <c r="BT76">
        <f t="shared" si="30"/>
        <v>4.929595489064814E-3</v>
      </c>
      <c r="BU76">
        <f t="shared" si="30"/>
        <v>4.9199132530809743E-3</v>
      </c>
      <c r="BV76">
        <f t="shared" si="30"/>
        <v>4.9133409702601296E-3</v>
      </c>
      <c r="BW76">
        <f t="shared" si="30"/>
        <v>4.9098786406022851E-3</v>
      </c>
      <c r="BX76">
        <f t="shared" si="30"/>
        <v>4.9095262641074208E-3</v>
      </c>
      <c r="BY76">
        <f t="shared" si="30"/>
        <v>4.9122838407755515E-3</v>
      </c>
      <c r="BZ76">
        <f t="shared" si="30"/>
        <v>4.9181513706066677E-3</v>
      </c>
      <c r="CA76">
        <f t="shared" si="30"/>
        <v>4.9271288536007866E-3</v>
      </c>
      <c r="CB76">
        <f t="shared" si="30"/>
        <v>4.9392162897578858E-3</v>
      </c>
      <c r="CC76">
        <f t="shared" si="30"/>
        <v>4.9544136790779861E-3</v>
      </c>
      <c r="CD76">
        <f t="shared" si="30"/>
        <v>4.9727210215610648E-3</v>
      </c>
      <c r="CE76">
        <f t="shared" si="18"/>
        <v>4.9941383172071533E-3</v>
      </c>
      <c r="CF76">
        <f t="shared" si="18"/>
        <v>5.018665566016222E-3</v>
      </c>
      <c r="CG76">
        <f t="shared" si="28"/>
        <v>5.0463027679882762E-3</v>
      </c>
      <c r="CH76">
        <f t="shared" si="28"/>
        <v>5.0770499231233331E-3</v>
      </c>
      <c r="CI76">
        <f t="shared" si="28"/>
        <v>5.1109070314213764E-3</v>
      </c>
      <c r="CJ76">
        <f t="shared" si="28"/>
        <v>5.1478740928824138E-3</v>
      </c>
      <c r="CK76">
        <f t="shared" si="28"/>
        <v>5.1879511075064392E-3</v>
      </c>
      <c r="CL76">
        <f t="shared" si="28"/>
        <v>5.2311380752934579E-3</v>
      </c>
      <c r="CM76">
        <f t="shared" si="28"/>
        <v>5.2774349962434637E-3</v>
      </c>
      <c r="CN76">
        <f t="shared" si="28"/>
        <v>5.3268418703564645E-3</v>
      </c>
      <c r="CO76">
        <f t="shared" si="28"/>
        <v>5.3793586976324595E-3</v>
      </c>
      <c r="CP76">
        <f t="shared" si="28"/>
        <v>5.4349854780714338E-3</v>
      </c>
      <c r="CQ76">
        <f t="shared" si="28"/>
        <v>5.4937222116734161E-3</v>
      </c>
      <c r="CR76">
        <f t="shared" si="28"/>
        <v>5.5555688984383787E-3</v>
      </c>
      <c r="CS76">
        <f t="shared" si="28"/>
        <v>5.6205255383663354E-3</v>
      </c>
      <c r="CT76">
        <f t="shared" si="28"/>
        <v>5.688592131457287E-3</v>
      </c>
      <c r="CU76">
        <f t="shared" si="28"/>
        <v>5.7597686777112319E-3</v>
      </c>
      <c r="CV76">
        <f t="shared" si="28"/>
        <v>5.8340551771281571E-3</v>
      </c>
    </row>
    <row r="77" spans="19:100" x14ac:dyDescent="0.2">
      <c r="S77">
        <v>37.400000000000098</v>
      </c>
      <c r="T77">
        <f t="shared" si="31"/>
        <v>9.7410476252436651E-3</v>
      </c>
      <c r="U77">
        <f t="shared" si="31"/>
        <v>9.5695525942015441E-3</v>
      </c>
      <c r="V77">
        <f t="shared" si="31"/>
        <v>9.4011675163224173E-3</v>
      </c>
      <c r="W77">
        <f t="shared" si="31"/>
        <v>9.2358923916062846E-3</v>
      </c>
      <c r="X77">
        <f t="shared" si="31"/>
        <v>9.073727220053146E-3</v>
      </c>
      <c r="Y77">
        <f t="shared" si="31"/>
        <v>8.9146720016629877E-3</v>
      </c>
      <c r="Z77">
        <f t="shared" si="31"/>
        <v>8.7587267364358234E-3</v>
      </c>
      <c r="AA77">
        <f t="shared" si="31"/>
        <v>8.6058914243716395E-3</v>
      </c>
      <c r="AB77">
        <f t="shared" si="31"/>
        <v>8.4561660654704635E-3</v>
      </c>
      <c r="AC77">
        <f t="shared" si="31"/>
        <v>8.3095506597322816E-3</v>
      </c>
      <c r="AD77">
        <f t="shared" si="31"/>
        <v>8.1660452071570799E-3</v>
      </c>
      <c r="AE77">
        <f t="shared" si="31"/>
        <v>8.0256497077448724E-3</v>
      </c>
      <c r="AF77">
        <f t="shared" si="31"/>
        <v>7.888364161495659E-3</v>
      </c>
      <c r="AG77">
        <f t="shared" si="31"/>
        <v>7.7541885684094388E-3</v>
      </c>
      <c r="AH77">
        <f t="shared" si="31"/>
        <v>7.6231229284861998E-3</v>
      </c>
      <c r="AI77">
        <f t="shared" si="31"/>
        <v>7.4951672417259618E-3</v>
      </c>
      <c r="AJ77">
        <f t="shared" si="29"/>
        <v>7.370321508128711E-3</v>
      </c>
      <c r="AK77">
        <f t="shared" si="29"/>
        <v>7.2485857276944473E-3</v>
      </c>
      <c r="AL77">
        <f t="shared" si="29"/>
        <v>7.1299599004231847E-3</v>
      </c>
      <c r="AM77">
        <f t="shared" si="29"/>
        <v>7.0144440263149093E-3</v>
      </c>
      <c r="AN77">
        <f t="shared" si="29"/>
        <v>6.9020381053696211E-3</v>
      </c>
      <c r="AO77">
        <f t="shared" si="29"/>
        <v>6.7927421375873339E-3</v>
      </c>
      <c r="AP77">
        <f t="shared" si="29"/>
        <v>6.6865561229680339E-3</v>
      </c>
      <c r="AQ77">
        <f t="shared" si="29"/>
        <v>6.5834800615117211E-3</v>
      </c>
      <c r="AR77">
        <f t="shared" si="32"/>
        <v>6.4835139532184024E-3</v>
      </c>
      <c r="AS77">
        <f t="shared" si="32"/>
        <v>6.3866577980880709E-3</v>
      </c>
      <c r="AT77">
        <f t="shared" si="32"/>
        <v>6.2929115961207404E-3</v>
      </c>
      <c r="AU77">
        <f t="shared" si="32"/>
        <v>6.2022753473163971E-3</v>
      </c>
      <c r="AV77">
        <f t="shared" si="32"/>
        <v>6.114749051675041E-3</v>
      </c>
      <c r="AW77">
        <f t="shared" si="32"/>
        <v>6.030332709196679E-3</v>
      </c>
      <c r="AX77">
        <f t="shared" si="32"/>
        <v>5.9490263198813103E-3</v>
      </c>
      <c r="AY77">
        <f t="shared" si="32"/>
        <v>5.8708298837289305E-3</v>
      </c>
      <c r="AZ77">
        <f t="shared" si="32"/>
        <v>5.7957434007395439E-3</v>
      </c>
      <c r="BA77">
        <f t="shared" si="32"/>
        <v>5.7237668709131436E-3</v>
      </c>
      <c r="BB77">
        <f t="shared" si="32"/>
        <v>5.6549002942497383E-3</v>
      </c>
      <c r="BC77">
        <f t="shared" si="32"/>
        <v>5.5891436707493272E-3</v>
      </c>
      <c r="BD77">
        <f t="shared" si="32"/>
        <v>5.5264970004119032E-3</v>
      </c>
      <c r="BE77">
        <f t="shared" si="32"/>
        <v>5.4669602832374733E-3</v>
      </c>
      <c r="BF77">
        <f t="shared" si="32"/>
        <v>5.4105335192260375E-3</v>
      </c>
      <c r="BG77">
        <f t="shared" si="32"/>
        <v>5.3572167083775889E-3</v>
      </c>
      <c r="BH77">
        <f t="shared" si="22"/>
        <v>5.3070098506921275E-3</v>
      </c>
      <c r="BI77">
        <f t="shared" si="22"/>
        <v>5.2599129461696602E-3</v>
      </c>
      <c r="BJ77">
        <f t="shared" si="22"/>
        <v>5.2159259948101871E-3</v>
      </c>
      <c r="BK77">
        <f t="shared" si="22"/>
        <v>5.175048996613708E-3</v>
      </c>
      <c r="BL77">
        <f t="shared" si="22"/>
        <v>5.1372819515802162E-3</v>
      </c>
      <c r="BM77">
        <f t="shared" si="22"/>
        <v>5.1026248597097184E-3</v>
      </c>
      <c r="BN77">
        <f t="shared" si="22"/>
        <v>5.0710777210022078E-3</v>
      </c>
      <c r="BO77">
        <f t="shared" si="30"/>
        <v>5.0426405354576914E-3</v>
      </c>
      <c r="BP77">
        <f t="shared" si="30"/>
        <v>5.017313303076169E-3</v>
      </c>
      <c r="BQ77">
        <f t="shared" si="30"/>
        <v>4.9950960238576338E-3</v>
      </c>
      <c r="BR77">
        <f t="shared" si="30"/>
        <v>4.9759886978020858E-3</v>
      </c>
      <c r="BS77">
        <f t="shared" si="30"/>
        <v>4.9599913249095389E-3</v>
      </c>
      <c r="BT77">
        <f t="shared" si="30"/>
        <v>4.9471039051799792E-3</v>
      </c>
      <c r="BU77">
        <f t="shared" si="30"/>
        <v>4.9373264386134066E-3</v>
      </c>
      <c r="BV77">
        <f t="shared" si="30"/>
        <v>4.9306589252098281E-3</v>
      </c>
      <c r="BW77">
        <f t="shared" si="30"/>
        <v>4.9271013649692507E-3</v>
      </c>
      <c r="BX77">
        <f t="shared" si="30"/>
        <v>4.9266537578916535E-3</v>
      </c>
      <c r="BY77">
        <f t="shared" si="30"/>
        <v>4.9293161039770505E-3</v>
      </c>
      <c r="BZ77">
        <f t="shared" si="30"/>
        <v>4.9350884032254346E-3</v>
      </c>
      <c r="CA77">
        <f t="shared" si="30"/>
        <v>4.9439706556368198E-3</v>
      </c>
      <c r="CB77">
        <f t="shared" si="30"/>
        <v>4.9559628612111852E-3</v>
      </c>
      <c r="CC77">
        <f t="shared" si="30"/>
        <v>4.9710650199485517E-3</v>
      </c>
      <c r="CD77">
        <f t="shared" si="30"/>
        <v>4.9892771318488984E-3</v>
      </c>
      <c r="CE77">
        <f t="shared" si="18"/>
        <v>5.0105991969122531E-3</v>
      </c>
      <c r="CF77">
        <f t="shared" si="18"/>
        <v>5.0350312151385881E-3</v>
      </c>
      <c r="CG77">
        <f t="shared" si="28"/>
        <v>5.0625731865279102E-3</v>
      </c>
      <c r="CH77">
        <f t="shared" si="28"/>
        <v>5.0932251110802334E-3</v>
      </c>
      <c r="CI77">
        <f t="shared" si="28"/>
        <v>5.1269869887955438E-3</v>
      </c>
      <c r="CJ77">
        <f t="shared" si="28"/>
        <v>5.1638588196738482E-3</v>
      </c>
      <c r="CK77">
        <f t="shared" si="28"/>
        <v>5.203840603715139E-3</v>
      </c>
      <c r="CL77">
        <f t="shared" si="28"/>
        <v>5.2469323409194248E-3</v>
      </c>
      <c r="CM77">
        <f t="shared" si="28"/>
        <v>5.2931340312866977E-3</v>
      </c>
      <c r="CN77">
        <f t="shared" si="28"/>
        <v>5.3424456748169657E-3</v>
      </c>
      <c r="CO77">
        <f t="shared" si="28"/>
        <v>5.3948672715102269E-3</v>
      </c>
      <c r="CP77">
        <f t="shared" si="28"/>
        <v>5.4503988213664683E-3</v>
      </c>
      <c r="CQ77">
        <f t="shared" si="28"/>
        <v>5.5090403243857168E-3</v>
      </c>
      <c r="CR77">
        <f t="shared" si="28"/>
        <v>5.5707917805679465E-3</v>
      </c>
      <c r="CS77">
        <f t="shared" si="28"/>
        <v>5.6356531899131703E-3</v>
      </c>
      <c r="CT77">
        <f t="shared" si="28"/>
        <v>5.7036245524213882E-3</v>
      </c>
      <c r="CU77">
        <f t="shared" si="28"/>
        <v>5.7747058680926002E-3</v>
      </c>
      <c r="CV77">
        <f t="shared" si="28"/>
        <v>5.8488971369267924E-3</v>
      </c>
    </row>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C177572-7D81-45CF-B468-46F0473761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DCIR Surface</vt:lpstr>
      <vt:lpstr>Entropic Heat &amp; VOC</vt:lpstr>
      <vt:lpstr>ECM Parameters</vt:lpstr>
      <vt:lpstr>Sheet3</vt:lpstr>
      <vt:lpstr>Sheet5</vt:lpstr>
      <vt:lpstr>Interpolation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Stave, Ben</dc:creator>
  <cp:lastModifiedBy>Agboola, Muizz</cp:lastModifiedBy>
  <cp:lastPrinted>2026-02-03T00:51:01Z</cp:lastPrinted>
  <dcterms:created xsi:type="dcterms:W3CDTF">2026-01-09T23:28:29Z</dcterms:created>
  <dcterms:modified xsi:type="dcterms:W3CDTF">2026-03-06T06:13:57Z</dcterms:modified>
</cp:coreProperties>
</file>